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mir\Desktop\economic aplications\data_2025\"/>
    </mc:Choice>
  </mc:AlternateContent>
  <xr:revisionPtr revIDLastSave="0" documentId="13_ncr:1_{7C72D64E-15DC-466C-9957-D44DBBAD6E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הנחות" sheetId="2" r:id="rId2"/>
    <sheet name="Sheet3" sheetId="3" state="hidden" r:id="rId3"/>
  </sheets>
  <definedNames>
    <definedName name="_xlnm._FilterDatabase" localSheetId="0" hidden="1">data!$A$2:$Q$152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H146" i="1" l="1"/>
  <c r="H141" i="1"/>
  <c r="H140" i="1"/>
  <c r="H135" i="1"/>
  <c r="H133" i="1"/>
  <c r="H127" i="1"/>
  <c r="H126" i="1"/>
  <c r="H125" i="1"/>
  <c r="H123" i="1"/>
  <c r="H122" i="1"/>
  <c r="H118" i="1"/>
  <c r="H115" i="1"/>
  <c r="H112" i="1"/>
  <c r="H111" i="1"/>
  <c r="H110" i="1"/>
  <c r="H109" i="1"/>
  <c r="H108" i="1"/>
  <c r="H107" i="1"/>
  <c r="H106" i="1"/>
  <c r="H105" i="1"/>
  <c r="H104" i="1"/>
  <c r="H102" i="1"/>
  <c r="H99" i="1"/>
  <c r="H98" i="1"/>
  <c r="H97" i="1"/>
  <c r="H95" i="1"/>
  <c r="H94" i="1"/>
  <c r="H90" i="1"/>
  <c r="H89" i="1"/>
  <c r="H88" i="1"/>
  <c r="H86" i="1"/>
  <c r="H84" i="1"/>
  <c r="H82" i="1"/>
  <c r="H81" i="1"/>
  <c r="H80" i="1"/>
  <c r="H79" i="1"/>
  <c r="H73" i="1"/>
  <c r="H72" i="1"/>
  <c r="H70" i="1"/>
  <c r="H68" i="1"/>
  <c r="H65" i="1"/>
  <c r="H64" i="1"/>
  <c r="H61" i="1"/>
  <c r="H60" i="1"/>
  <c r="H59" i="1"/>
  <c r="H57" i="1"/>
  <c r="H56" i="1"/>
  <c r="H55" i="1"/>
  <c r="H54" i="1"/>
  <c r="H53" i="1"/>
  <c r="H52" i="1"/>
  <c r="H49" i="1"/>
  <c r="H47" i="1"/>
  <c r="H46" i="1"/>
  <c r="H45" i="1"/>
  <c r="H44" i="1"/>
  <c r="H42" i="1"/>
  <c r="H41" i="1"/>
  <c r="H40" i="1"/>
  <c r="H38" i="1"/>
  <c r="H37" i="1"/>
  <c r="H33" i="1"/>
  <c r="H32" i="1"/>
  <c r="H31" i="1"/>
  <c r="H29" i="1"/>
  <c r="H27" i="1"/>
  <c r="H26" i="1"/>
  <c r="H23" i="1"/>
  <c r="H20" i="1"/>
  <c r="H19" i="1"/>
  <c r="H17" i="1"/>
  <c r="H14" i="1"/>
  <c r="H12" i="1"/>
  <c r="H11" i="1"/>
  <c r="H9" i="1"/>
  <c r="H7" i="1"/>
  <c r="H4" i="1"/>
  <c r="H3" i="1"/>
  <c r="K100" i="1" l="1"/>
  <c r="K119" i="1"/>
  <c r="K124" i="1"/>
  <c r="K130" i="1"/>
  <c r="K134" i="1"/>
  <c r="K137" i="1"/>
  <c r="K143" i="1"/>
  <c r="K149" i="1"/>
  <c r="K152" i="1"/>
  <c r="K151" i="1"/>
  <c r="K150" i="1"/>
  <c r="K148" i="1"/>
  <c r="K147" i="1"/>
  <c r="K145" i="1"/>
  <c r="K144" i="1"/>
  <c r="K142" i="1"/>
  <c r="K139" i="1"/>
  <c r="K138" i="1"/>
  <c r="K136" i="1"/>
  <c r="K132" i="1"/>
  <c r="K131" i="1"/>
  <c r="K129" i="1"/>
  <c r="K128" i="1"/>
  <c r="K121" i="1"/>
  <c r="K120" i="1"/>
  <c r="K117" i="1"/>
  <c r="K116" i="1"/>
  <c r="K114" i="1"/>
  <c r="K113" i="1"/>
  <c r="K101" i="1"/>
  <c r="K96" i="1"/>
  <c r="K93" i="1"/>
  <c r="K91" i="1"/>
  <c r="K78" i="1"/>
  <c r="K77" i="1"/>
  <c r="K76" i="1"/>
  <c r="K74" i="1"/>
  <c r="K71" i="1"/>
  <c r="K69" i="1"/>
  <c r="K67" i="1"/>
  <c r="K66" i="1"/>
  <c r="K58" i="1"/>
  <c r="K48" i="1"/>
  <c r="K34" i="1"/>
  <c r="K30" i="1"/>
  <c r="K22" i="1"/>
  <c r="K16" i="1"/>
  <c r="K13" i="1"/>
  <c r="K10" i="1"/>
  <c r="K8" i="1"/>
  <c r="K6" i="1"/>
  <c r="K5" i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</calcChain>
</file>

<file path=xl/sharedStrings.xml><?xml version="1.0" encoding="utf-8"?>
<sst xmlns="http://schemas.openxmlformats.org/spreadsheetml/2006/main" count="521" uniqueCount="284">
  <si>
    <t>ליאור</t>
  </si>
  <si>
    <t>M</t>
  </si>
  <si>
    <t>שי</t>
  </si>
  <si>
    <t>שמעון</t>
  </si>
  <si>
    <t>F</t>
  </si>
  <si>
    <t>נתנאל</t>
  </si>
  <si>
    <t>אסנת</t>
  </si>
  <si>
    <t>דניאל</t>
  </si>
  <si>
    <t>יוסי</t>
  </si>
  <si>
    <t>בן דוד</t>
  </si>
  <si>
    <t>איתמר</t>
  </si>
  <si>
    <t>חגית</t>
  </si>
  <si>
    <t>חיים</t>
  </si>
  <si>
    <t>ליאת</t>
  </si>
  <si>
    <t>שבתאי</t>
  </si>
  <si>
    <t>אשכנזי</t>
  </si>
  <si>
    <t>ממון</t>
  </si>
  <si>
    <t>טל</t>
  </si>
  <si>
    <t>חנינה</t>
  </si>
  <si>
    <t>אשר</t>
  </si>
  <si>
    <t>שרון</t>
  </si>
  <si>
    <t>רונן</t>
  </si>
  <si>
    <t>דבורה</t>
  </si>
  <si>
    <t>שרה</t>
  </si>
  <si>
    <t>סבטלנה</t>
  </si>
  <si>
    <t>זקס</t>
  </si>
  <si>
    <t>תומר</t>
  </si>
  <si>
    <t>משה</t>
  </si>
  <si>
    <t>אמיליה</t>
  </si>
  <si>
    <t>רחל</t>
  </si>
  <si>
    <t>רון</t>
  </si>
  <si>
    <t>חדוה</t>
  </si>
  <si>
    <t>שלומית</t>
  </si>
  <si>
    <t>כהן</t>
  </si>
  <si>
    <t>אלון</t>
  </si>
  <si>
    <t>עדי</t>
  </si>
  <si>
    <t>דוד</t>
  </si>
  <si>
    <t>שטרן</t>
  </si>
  <si>
    <t>נעמה</t>
  </si>
  <si>
    <t>חנה</t>
  </si>
  <si>
    <t>לוי</t>
  </si>
  <si>
    <t>איתן</t>
  </si>
  <si>
    <t>מיטל</t>
  </si>
  <si>
    <t>מיכאל</t>
  </si>
  <si>
    <t>הילה</t>
  </si>
  <si>
    <t>נחמני</t>
  </si>
  <si>
    <t>אליס</t>
  </si>
  <si>
    <t>דקל</t>
  </si>
  <si>
    <t xml:space="preserve">סתיו </t>
  </si>
  <si>
    <t>דפנה</t>
  </si>
  <si>
    <t>נדין</t>
  </si>
  <si>
    <t>מין</t>
  </si>
  <si>
    <t xml:space="preserve">שם </t>
  </si>
  <si>
    <t>שם משפחה</t>
  </si>
  <si>
    <t>תאריך לידה</t>
  </si>
  <si>
    <t xml:space="preserve">תאריך תחילת עבודה </t>
  </si>
  <si>
    <t>דרור</t>
  </si>
  <si>
    <t>בן משה</t>
  </si>
  <si>
    <t>וקסלר</t>
  </si>
  <si>
    <t>אירנה</t>
  </si>
  <si>
    <t>גבי</t>
  </si>
  <si>
    <t>מרים</t>
  </si>
  <si>
    <t>שלמה</t>
  </si>
  <si>
    <t>שניידר</t>
  </si>
  <si>
    <t>יואב</t>
  </si>
  <si>
    <t>נדב</t>
  </si>
  <si>
    <t>נחום</t>
  </si>
  <si>
    <t>וקנין</t>
  </si>
  <si>
    <t>מיכל</t>
  </si>
  <si>
    <t>אבי</t>
  </si>
  <si>
    <t>אור</t>
  </si>
  <si>
    <t>חן</t>
  </si>
  <si>
    <t>אדרי</t>
  </si>
  <si>
    <t>ברוך</t>
  </si>
  <si>
    <t>רם</t>
  </si>
  <si>
    <t>מזרחי</t>
  </si>
  <si>
    <t>לימור</t>
  </si>
  <si>
    <t>רוזנברג</t>
  </si>
  <si>
    <t>אורית</t>
  </si>
  <si>
    <t>חנן</t>
  </si>
  <si>
    <t>מאיר</t>
  </si>
  <si>
    <t>נעה</t>
  </si>
  <si>
    <t>גורן</t>
  </si>
  <si>
    <t>פרץ</t>
  </si>
  <si>
    <t>רות</t>
  </si>
  <si>
    <t>בר</t>
  </si>
  <si>
    <t>לב</t>
  </si>
  <si>
    <t>רגב</t>
  </si>
  <si>
    <t>ברק</t>
  </si>
  <si>
    <t>שחר</t>
  </si>
  <si>
    <t>עמית</t>
  </si>
  <si>
    <t>ספיר</t>
  </si>
  <si>
    <t>סמדר</t>
  </si>
  <si>
    <t>יעל</t>
  </si>
  <si>
    <t>מוטי</t>
  </si>
  <si>
    <t>שירה</t>
  </si>
  <si>
    <t>שמיר</t>
  </si>
  <si>
    <t>עודד</t>
  </si>
  <si>
    <t>פלדמן</t>
  </si>
  <si>
    <t>ברדה</t>
  </si>
  <si>
    <t>ישראל</t>
  </si>
  <si>
    <t>חדד</t>
  </si>
  <si>
    <t>שגיא</t>
  </si>
  <si>
    <t>גולד</t>
  </si>
  <si>
    <t>ורדה</t>
  </si>
  <si>
    <t>גולדברג</t>
  </si>
  <si>
    <t>אילן</t>
  </si>
  <si>
    <t>נפתלי</t>
  </si>
  <si>
    <t>מור</t>
  </si>
  <si>
    <t>אמנון</t>
  </si>
  <si>
    <t>בלושטיין</t>
  </si>
  <si>
    <t>עינב</t>
  </si>
  <si>
    <t>מנדל</t>
  </si>
  <si>
    <t>אביטל</t>
  </si>
  <si>
    <t>אקוקה</t>
  </si>
  <si>
    <t>לבנון</t>
  </si>
  <si>
    <t>שמעוני</t>
  </si>
  <si>
    <t>מוחמד</t>
  </si>
  <si>
    <t>גל</t>
  </si>
  <si>
    <t>מובשוביץ</t>
  </si>
  <si>
    <t>ענבר</t>
  </si>
  <si>
    <t>נטלי</t>
  </si>
  <si>
    <t>סעדיה</t>
  </si>
  <si>
    <t>טרבלסי</t>
  </si>
  <si>
    <t>רומן</t>
  </si>
  <si>
    <t>פאינה</t>
  </si>
  <si>
    <t>עדן</t>
  </si>
  <si>
    <t>אנה</t>
  </si>
  <si>
    <t>מקסים</t>
  </si>
  <si>
    <t>בוריס</t>
  </si>
  <si>
    <t>קפלן</t>
  </si>
  <si>
    <t>מרינה</t>
  </si>
  <si>
    <t>בוזגלו</t>
  </si>
  <si>
    <t>חוה</t>
  </si>
  <si>
    <t>ליברמן</t>
  </si>
  <si>
    <t>גולדמן</t>
  </si>
  <si>
    <t>שקולניק</t>
  </si>
  <si>
    <t>ולד</t>
  </si>
  <si>
    <t>דינה</t>
  </si>
  <si>
    <t>נורית</t>
  </si>
  <si>
    <t>צילה</t>
  </si>
  <si>
    <t xml:space="preserve">לוי </t>
  </si>
  <si>
    <t xml:space="preserve">שכר </t>
  </si>
  <si>
    <t>תאריך  קבלת סעיף 14</t>
  </si>
  <si>
    <t>שווי נכס</t>
  </si>
  <si>
    <t>הפקדות</t>
  </si>
  <si>
    <t xml:space="preserve">גלוקמן </t>
  </si>
  <si>
    <t xml:space="preserve">אברג'ל </t>
  </si>
  <si>
    <t>אירית</t>
  </si>
  <si>
    <t>קיופמן</t>
  </si>
  <si>
    <t>קופרמן</t>
  </si>
  <si>
    <t xml:space="preserve">חיה </t>
  </si>
  <si>
    <t>ברנבוים</t>
  </si>
  <si>
    <t>מצ'טנר</t>
  </si>
  <si>
    <t>אביגל</t>
  </si>
  <si>
    <t>אבולפיה</t>
  </si>
  <si>
    <t>פלטניקוב</t>
  </si>
  <si>
    <t>אלקס</t>
  </si>
  <si>
    <t>אדלשטיין</t>
  </si>
  <si>
    <t>וקסמן</t>
  </si>
  <si>
    <t>פטרוק</t>
  </si>
  <si>
    <t>נקול</t>
  </si>
  <si>
    <t>וסרמן</t>
  </si>
  <si>
    <t>אנטולי</t>
  </si>
  <si>
    <t xml:space="preserve">שלמה </t>
  </si>
  <si>
    <t>בואדנו</t>
  </si>
  <si>
    <t>לויטין</t>
  </si>
  <si>
    <t>צוריקר</t>
  </si>
  <si>
    <t>רוטברג</t>
  </si>
  <si>
    <t>אוסנת</t>
  </si>
  <si>
    <t>סילברבג</t>
  </si>
  <si>
    <t>קמחי</t>
  </si>
  <si>
    <t>מיכלשוילי</t>
  </si>
  <si>
    <t>אבוארר</t>
  </si>
  <si>
    <t>ברזובסקי</t>
  </si>
  <si>
    <t>סטס</t>
  </si>
  <si>
    <t>שילו</t>
  </si>
  <si>
    <t>סרגון</t>
  </si>
  <si>
    <t>שרלי</t>
  </si>
  <si>
    <t>ולקוב</t>
  </si>
  <si>
    <t>קלימן</t>
  </si>
  <si>
    <t>שפיגל</t>
  </si>
  <si>
    <t>גרוטו</t>
  </si>
  <si>
    <t>דיאנה</t>
  </si>
  <si>
    <t>ספוג'ניקוב</t>
  </si>
  <si>
    <t>ולנטינה</t>
  </si>
  <si>
    <t>ברון</t>
  </si>
  <si>
    <t>ברורמן</t>
  </si>
  <si>
    <t>ברודי</t>
  </si>
  <si>
    <t>פז</t>
  </si>
  <si>
    <t>איגל</t>
  </si>
  <si>
    <t>מורדכי</t>
  </si>
  <si>
    <t>זינו</t>
  </si>
  <si>
    <t>גליקסמן</t>
  </si>
  <si>
    <t>שליט</t>
  </si>
  <si>
    <t>ז'אן</t>
  </si>
  <si>
    <t>אלנה</t>
  </si>
  <si>
    <t>קרבצוב</t>
  </si>
  <si>
    <t>שויט</t>
  </si>
  <si>
    <t>בלוגולבסקי</t>
  </si>
  <si>
    <t>אגם</t>
  </si>
  <si>
    <t>לבינסקי</t>
  </si>
  <si>
    <t>טליה</t>
  </si>
  <si>
    <t>ג'קסון</t>
  </si>
  <si>
    <t>מוריה</t>
  </si>
  <si>
    <t>אלטרמן</t>
  </si>
  <si>
    <t>שלונסקי</t>
  </si>
  <si>
    <t>שריקי</t>
  </si>
  <si>
    <t>כוגן</t>
  </si>
  <si>
    <t>טהילה</t>
  </si>
  <si>
    <t>קצנלסון</t>
  </si>
  <si>
    <t>ורניק</t>
  </si>
  <si>
    <t xml:space="preserve">כץ </t>
  </si>
  <si>
    <t>חסן</t>
  </si>
  <si>
    <t>גירין</t>
  </si>
  <si>
    <t>חביה תקומי</t>
  </si>
  <si>
    <t xml:space="preserve">שרחה </t>
  </si>
  <si>
    <t>ביסטרוב</t>
  </si>
  <si>
    <t>אינוטייב</t>
  </si>
  <si>
    <t>רופא</t>
  </si>
  <si>
    <t>לוי איסקוב</t>
  </si>
  <si>
    <t>קרייטנברגר</t>
  </si>
  <si>
    <t>הרוש</t>
  </si>
  <si>
    <t xml:space="preserve">טישלר </t>
  </si>
  <si>
    <t>מלכ</t>
  </si>
  <si>
    <t>טוביאנה</t>
  </si>
  <si>
    <t>אלמקיאס</t>
  </si>
  <si>
    <t>עבד אל רחמן</t>
  </si>
  <si>
    <t>פומגרין</t>
  </si>
  <si>
    <t xml:space="preserve">סרוסי </t>
  </si>
  <si>
    <t>גלעדי</t>
  </si>
  <si>
    <t>פרנקו</t>
  </si>
  <si>
    <t xml:space="preserve">גרייב </t>
  </si>
  <si>
    <t>טאהא</t>
  </si>
  <si>
    <t>בזאליי</t>
  </si>
  <si>
    <t>גוסלקר</t>
  </si>
  <si>
    <t>נאשף</t>
  </si>
  <si>
    <t>פיקלר</t>
  </si>
  <si>
    <t>דוארי</t>
  </si>
  <si>
    <t>אמדו</t>
  </si>
  <si>
    <t xml:space="preserve">יעקב </t>
  </si>
  <si>
    <t>מושידה</t>
  </si>
  <si>
    <t>לקסמן</t>
  </si>
  <si>
    <t>גרובר</t>
  </si>
  <si>
    <t>מוזס</t>
  </si>
  <si>
    <t>בר לב</t>
  </si>
  <si>
    <t>בנט</t>
  </si>
  <si>
    <t>קדוש</t>
  </si>
  <si>
    <t>לוסי</t>
  </si>
  <si>
    <t>בני</t>
  </si>
  <si>
    <t xml:space="preserve">פראח </t>
  </si>
  <si>
    <t>רינה</t>
  </si>
  <si>
    <t>אלונה</t>
  </si>
  <si>
    <t>עזיז</t>
  </si>
  <si>
    <t xml:space="preserve">אנה </t>
  </si>
  <si>
    <t>רוביק</t>
  </si>
  <si>
    <t>מורד</t>
  </si>
  <si>
    <t>רביטל</t>
  </si>
  <si>
    <t>לינוי</t>
  </si>
  <si>
    <t>פני</t>
  </si>
  <si>
    <t>אחוז סעיף 14</t>
  </si>
  <si>
    <t xml:space="preserve">תאריך עזיבה </t>
  </si>
  <si>
    <t>תשלום מהנכס</t>
  </si>
  <si>
    <t>השלמה בצ'ק</t>
  </si>
  <si>
    <t>סיבת עזיבה</t>
  </si>
  <si>
    <t>התפטרות</t>
  </si>
  <si>
    <t>פיטורין</t>
  </si>
  <si>
    <t>פרישה לגמלאות</t>
  </si>
  <si>
    <t>עקום  שיעורי היוון</t>
  </si>
  <si>
    <t>הסתברויות עזיבה</t>
  </si>
  <si>
    <t>שיעור עלית השכר הצפוי</t>
  </si>
  <si>
    <t xml:space="preserve">שנה </t>
  </si>
  <si>
    <t>שיעור היוון</t>
  </si>
  <si>
    <t>גילאים</t>
  </si>
  <si>
    <t>18-29</t>
  </si>
  <si>
    <t>30-39</t>
  </si>
  <si>
    <t>40-49</t>
  </si>
  <si>
    <t>50-59</t>
  </si>
  <si>
    <t>60-67</t>
  </si>
  <si>
    <t xml:space="preserve">תאריך עלית השכר </t>
  </si>
  <si>
    <t xml:space="preserve">מדיניות החברה לגבי תשלום הפיצויים </t>
  </si>
  <si>
    <t>לשחרר קופת פיצויים במקרה של התפטרות</t>
  </si>
  <si>
    <t>כל שלוש שנים</t>
  </si>
  <si>
    <t>בשאר המקרים לבעלי וותק פחות מ-5 שנים לשלם על פי החוק ולבעלי וותק מעל 5 שנים לשלם מקסימום מבין סכום הפיצויים על פי החוק לבין שווי הקופה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</si>
</sst>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 * #,##0.00_ ;_ * \-#,##0.00_ ;_ * &quot;-&quot;??_ ;_ @_ 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General_)"/>
    <numFmt numFmtId="168" formatCode="#,###,###,###,###,###,###,###,###,###,###,###,###"/>
    <numFmt numFmtId="169" formatCode="dd\-mmm\-yyyy"/>
    <numFmt numFmtId="170" formatCode="#,##0.00########"/>
    <numFmt numFmtId="171" formatCode="#,##0.00%"/>
    <numFmt numFmtId="172" formatCode="\+* #,##0.00;[Red]\-* #,##0.00"/>
    <numFmt numFmtId="173" formatCode="\+* #,##0;[Red]\-* #,##0"/>
    <numFmt numFmtId="174" formatCode="\ * #,##0;[Red]\-* #,##0"/>
    <numFmt numFmtId="175" formatCode="_-[$€-2]* #,##0.00_-;\-[$€-2]* #,##0.00_-;_-[$€-2]* &quot;-&quot;??_-"/>
    <numFmt numFmtId="176" formatCode="#.00"/>
    <numFmt numFmtId="177" formatCode="_-* #,##0.00;\-* #,##0.00;_-* &quot;-&quot;??;_-@_-"/>
    <numFmt numFmtId="178" formatCode="#."/>
    <numFmt numFmtId="179" formatCode="d\ mmmm\ yyyy"/>
    <numFmt numFmtId="180" formatCode="_-* #,##0.00\ _B_F_-;\-* #,##0.00\ _B_F_-;_-* &quot;-&quot;??\ _B_F_-;_-@_-"/>
    <numFmt numFmtId="181" formatCode="_ &quot;SFr.&quot;\ * #,##0_ ;_ &quot;SFr.&quot;\ * \-#,##0_ ;_ &quot;SFr.&quot;\ * &quot;-&quot;_ ;_ @_ "/>
    <numFmt numFmtId="182" formatCode="_ &quot;SFr.&quot;\ * #,##0.00_ ;_ &quot;SFr.&quot;\ * \-#,##0.00_ ;_ &quot;SFr.&quot;\ * &quot;-&quot;??_ ;_ @_ "/>
    <numFmt numFmtId="183" formatCode="dd\ mmm\ yyyy"/>
    <numFmt numFmtId="184" formatCode="###,###.##"/>
    <numFmt numFmtId="185" formatCode="_-&quot;L.&quot;\ * #,##0_-;\-&quot;L.&quot;\ * #,##0_-;_-&quot;L.&quot;\ * &quot;-&quot;_-;_-@_-"/>
    <numFmt numFmtId="186" formatCode="&quot;Fr.&quot;\+* #,##0.00;[Red]&quot;Fr.&quot;\-* #,##0.00"/>
    <numFmt numFmtId="187" formatCode="&quot;Fr.&quot;\+* #,##0;[Red]&quot;Fr.&quot;\-* #,##0"/>
    <numFmt numFmtId="188" formatCode="&quot;Fr.&quot;\ * #,##0;[Red]&quot;Fr.&quot;\-* #,##0"/>
    <numFmt numFmtId="189" formatCode="0.0%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b/>
      <sz val="11"/>
      <color indexed="52"/>
      <name val="Calibri"/>
      <family val="2"/>
      <charset val="177"/>
    </font>
    <font>
      <sz val="11"/>
      <color indexed="17"/>
      <name val="Calibri"/>
      <family val="2"/>
      <charset val="177"/>
    </font>
    <font>
      <sz val="11"/>
      <color indexed="10"/>
      <name val="Calibri"/>
      <family val="2"/>
      <charset val="177"/>
    </font>
    <font>
      <i/>
      <sz val="11"/>
      <color indexed="2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0"/>
      <name val="Calibri"/>
      <family val="2"/>
      <charset val="177"/>
    </font>
    <font>
      <b/>
      <sz val="11"/>
      <color indexed="8"/>
      <name val="Calibri"/>
      <family val="2"/>
      <charset val="177"/>
    </font>
    <font>
      <b/>
      <sz val="11"/>
      <color indexed="63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9"/>
      <name val="Calibri"/>
      <family val="2"/>
      <charset val="177"/>
    </font>
    <font>
      <sz val="11"/>
      <color indexed="52"/>
      <name val="Calibri"/>
      <family val="2"/>
      <charset val="177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name val="Helv"/>
    </font>
    <font>
      <sz val="10"/>
      <name val="Helv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name val="Switzerland"/>
      <family val="2"/>
      <charset val="177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7"/>
      <name val="Switzerland"/>
      <family val="2"/>
      <charset val="177"/>
    </font>
    <font>
      <sz val="9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"/>
      <color indexed="8"/>
      <name val="Courier"/>
      <family val="3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3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b/>
      <sz val="1"/>
      <color indexed="8"/>
      <name val="Courier"/>
      <family val="3"/>
    </font>
    <font>
      <sz val="11"/>
      <color indexed="20"/>
      <name val="Calibri"/>
      <family val="2"/>
    </font>
    <font>
      <b/>
      <sz val="8"/>
      <name val="Switzerland"/>
      <family val="2"/>
      <charset val="177"/>
    </font>
    <font>
      <sz val="11"/>
      <color indexed="60"/>
      <name val="Calibri"/>
      <family val="2"/>
    </font>
    <font>
      <sz val="12"/>
      <name val="Courier"/>
      <family val="3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0"/>
      <name val="Helv"/>
      <charset val="204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6"/>
      <name val="Switzerland"/>
      <family val="2"/>
      <charset val="177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1"/>
    </font>
    <font>
      <b/>
      <sz val="6"/>
      <name val="Switzerland"/>
      <family val="2"/>
      <charset val="177"/>
    </font>
    <font>
      <sz val="10"/>
      <name val="Calibri"/>
      <family val="2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sz val="18"/>
      <color theme="3"/>
      <name val="Cambria"/>
      <family val="2"/>
      <charset val="177"/>
      <scheme val="major"/>
    </font>
    <font>
      <b/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sz val="10"/>
      <color theme="1"/>
      <name val="Tahoma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</patternFill>
    </fill>
    <fill>
      <patternFill patternType="solid">
        <fgColor indexed="31"/>
      </patternFill>
    </fill>
    <fill>
      <patternFill patternType="solid">
        <fgColor indexed="5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4"/>
        <bgColor indexed="41"/>
      </patternFill>
    </fill>
    <fill>
      <patternFill patternType="solid">
        <fgColor indexed="25"/>
        <bgColor indexed="64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lightGray">
        <fgColor indexed="26"/>
      </patternFill>
    </fill>
    <fill>
      <patternFill patternType="solid">
        <fgColor indexed="54"/>
        <bgColor indexed="64"/>
      </patternFill>
    </fill>
    <fill>
      <patternFill patternType="mediumGray">
        <fgColor indexed="51"/>
      </patternFill>
    </fill>
    <fill>
      <patternFill patternType="lightGray">
        <fgColor indexed="43"/>
        <b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41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9">
    <xf numFmtId="0" fontId="0" fillId="0" borderId="0"/>
    <xf numFmtId="0" fontId="3" fillId="0" borderId="0"/>
    <xf numFmtId="0" fontId="4" fillId="0" borderId="0"/>
    <xf numFmtId="0" fontId="4" fillId="0" borderId="0"/>
    <xf numFmtId="0" fontId="28" fillId="0" borderId="0"/>
    <xf numFmtId="0" fontId="29" fillId="0" borderId="0"/>
    <xf numFmtId="0" fontId="29" fillId="0" borderId="0"/>
    <xf numFmtId="0" fontId="4" fillId="33" borderId="0"/>
    <xf numFmtId="0" fontId="4" fillId="33" borderId="0"/>
    <xf numFmtId="0" fontId="25" fillId="33" borderId="0"/>
    <xf numFmtId="0" fontId="30" fillId="33" borderId="0"/>
    <xf numFmtId="0" fontId="31" fillId="33" borderId="0"/>
    <xf numFmtId="0" fontId="31" fillId="33" borderId="0"/>
    <xf numFmtId="0" fontId="32" fillId="33" borderId="0"/>
    <xf numFmtId="0" fontId="33" fillId="33" borderId="0"/>
    <xf numFmtId="0" fontId="26" fillId="33" borderId="0"/>
    <xf numFmtId="166" fontId="4" fillId="34" borderId="10"/>
    <xf numFmtId="166" fontId="4" fillId="34" borderId="10"/>
    <xf numFmtId="0" fontId="28" fillId="0" borderId="0"/>
    <xf numFmtId="0" fontId="29" fillId="0" borderId="0"/>
    <xf numFmtId="0" fontId="28" fillId="0" borderId="0"/>
    <xf numFmtId="0" fontId="29" fillId="0" borderId="0"/>
    <xf numFmtId="0" fontId="30" fillId="34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33" borderId="0"/>
    <xf numFmtId="0" fontId="4" fillId="33" borderId="0"/>
    <xf numFmtId="0" fontId="25" fillId="33" borderId="0"/>
    <xf numFmtId="0" fontId="30" fillId="33" borderId="0"/>
    <xf numFmtId="0" fontId="4" fillId="33" borderId="0"/>
    <xf numFmtId="0" fontId="32" fillId="33" borderId="0"/>
    <xf numFmtId="0" fontId="33" fillId="33" borderId="0"/>
    <xf numFmtId="0" fontId="26" fillId="33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77" fillId="10" borderId="0" applyNumberFormat="0" applyBorder="0" applyAlignment="0" applyProtection="0"/>
    <xf numFmtId="0" fontId="77" fillId="14" borderId="0" applyNumberFormat="0" applyBorder="0" applyAlignment="0" applyProtection="0"/>
    <xf numFmtId="0" fontId="77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6" borderId="0" applyNumberFormat="0" applyBorder="0" applyAlignment="0" applyProtection="0"/>
    <xf numFmtId="0" fontId="77" fillId="30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1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77" fillId="11" borderId="0" applyNumberFormat="0" applyBorder="0" applyAlignment="0" applyProtection="0"/>
    <xf numFmtId="0" fontId="77" fillId="15" borderId="0" applyNumberFormat="0" applyBorder="0" applyAlignment="0" applyProtection="0"/>
    <xf numFmtId="0" fontId="77" fillId="19" borderId="0" applyNumberFormat="0" applyBorder="0" applyAlignment="0" applyProtection="0"/>
    <xf numFmtId="0" fontId="77" fillId="23" borderId="0" applyNumberFormat="0" applyBorder="0" applyAlignment="0" applyProtection="0"/>
    <xf numFmtId="0" fontId="77" fillId="27" borderId="0" applyNumberFormat="0" applyBorder="0" applyAlignment="0" applyProtection="0"/>
    <xf numFmtId="0" fontId="77" fillId="31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9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9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8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78" fillId="12" borderId="0" applyNumberFormat="0" applyBorder="0" applyAlignment="0" applyProtection="0"/>
    <xf numFmtId="0" fontId="78" fillId="16" borderId="0" applyNumberFormat="0" applyBorder="0" applyAlignment="0" applyProtection="0"/>
    <xf numFmtId="0" fontId="78" fillId="20" borderId="0" applyNumberFormat="0" applyBorder="0" applyAlignment="0" applyProtection="0"/>
    <xf numFmtId="0" fontId="78" fillId="24" borderId="0" applyNumberFormat="0" applyBorder="0" applyAlignment="0" applyProtection="0"/>
    <xf numFmtId="0" fontId="78" fillId="28" borderId="0" applyNumberFormat="0" applyBorder="0" applyAlignment="0" applyProtection="0"/>
    <xf numFmtId="0" fontId="78" fillId="32" borderId="0" applyNumberFormat="0" applyBorder="0" applyAlignment="0" applyProtection="0"/>
    <xf numFmtId="0" fontId="35" fillId="50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35" fillId="50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9" fillId="35" borderId="0" applyNumberFormat="0" applyBorder="0" applyAlignment="0" applyProtection="0"/>
    <xf numFmtId="0" fontId="9" fillId="46" borderId="0" applyNumberFormat="0" applyBorder="0" applyAlignment="0" applyProtection="0"/>
    <xf numFmtId="0" fontId="9" fillId="37" borderId="0" applyNumberFormat="0" applyBorder="0" applyAlignment="0" applyProtection="0"/>
    <xf numFmtId="0" fontId="9" fillId="48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5" fillId="56" borderId="0" applyNumberFormat="0" applyBorder="0" applyAlignment="0" applyProtection="0"/>
    <xf numFmtId="0" fontId="78" fillId="9" borderId="0" applyNumberFormat="0" applyBorder="0" applyAlignment="0" applyProtection="0"/>
    <xf numFmtId="0" fontId="34" fillId="59" borderId="0" applyNumberFormat="0" applyBorder="0" applyAlignment="0" applyProtection="0"/>
    <xf numFmtId="0" fontId="34" fillId="60" borderId="0" applyNumberFormat="0" applyBorder="0" applyAlignment="0" applyProtection="0"/>
    <xf numFmtId="0" fontId="35" fillId="61" borderId="0" applyNumberFormat="0" applyBorder="0" applyAlignment="0" applyProtection="0"/>
    <xf numFmtId="0" fontId="78" fillId="13" borderId="0" applyNumberFormat="0" applyBorder="0" applyAlignment="0" applyProtection="0"/>
    <xf numFmtId="0" fontId="34" fillId="63" borderId="0" applyNumberFormat="0" applyBorder="0" applyAlignment="0" applyProtection="0"/>
    <xf numFmtId="0" fontId="34" fillId="64" borderId="0" applyNumberFormat="0" applyBorder="0" applyAlignment="0" applyProtection="0"/>
    <xf numFmtId="0" fontId="35" fillId="65" borderId="0" applyNumberFormat="0" applyBorder="0" applyAlignment="0" applyProtection="0"/>
    <xf numFmtId="0" fontId="78" fillId="17" borderId="0" applyNumberFormat="0" applyBorder="0" applyAlignment="0" applyProtection="0"/>
    <xf numFmtId="0" fontId="34" fillId="64" borderId="0" applyNumberFormat="0" applyBorder="0" applyAlignment="0" applyProtection="0"/>
    <xf numFmtId="0" fontId="34" fillId="65" borderId="0" applyNumberFormat="0" applyBorder="0" applyAlignment="0" applyProtection="0"/>
    <xf numFmtId="0" fontId="35" fillId="65" borderId="0" applyNumberFormat="0" applyBorder="0" applyAlignment="0" applyProtection="0"/>
    <xf numFmtId="0" fontId="78" fillId="2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5" fillId="55" borderId="0" applyNumberFormat="0" applyBorder="0" applyAlignment="0" applyProtection="0"/>
    <xf numFmtId="0" fontId="78" fillId="25" borderId="0" applyNumberFormat="0" applyBorder="0" applyAlignment="0" applyProtection="0"/>
    <xf numFmtId="0" fontId="34" fillId="68" borderId="0" applyNumberFormat="0" applyBorder="0" applyAlignment="0" applyProtection="0"/>
    <xf numFmtId="0" fontId="34" fillId="60" borderId="0" applyNumberFormat="0" applyBorder="0" applyAlignment="0" applyProtection="0"/>
    <xf numFmtId="0" fontId="35" fillId="69" borderId="0" applyNumberFormat="0" applyBorder="0" applyAlignment="0" applyProtection="0"/>
    <xf numFmtId="0" fontId="78" fillId="29" borderId="0" applyNumberFormat="0" applyBorder="0" applyAlignment="0" applyProtection="0"/>
    <xf numFmtId="10" fontId="6" fillId="0" borderId="0">
      <alignment horizontal="right"/>
    </xf>
    <xf numFmtId="0" fontId="79" fillId="3" borderId="0" applyNumberFormat="0" applyBorder="0" applyAlignment="0" applyProtection="0"/>
    <xf numFmtId="167" fontId="36" fillId="0" borderId="0" applyNumberFormat="0" applyFill="0" applyBorder="0" applyProtection="0"/>
    <xf numFmtId="0" fontId="37" fillId="40" borderId="0" applyNumberFormat="0" applyBorder="0" applyAlignment="0" applyProtection="0"/>
    <xf numFmtId="0" fontId="38" fillId="48" borderId="11" applyNumberFormat="0" applyAlignment="0" applyProtection="0"/>
    <xf numFmtId="0" fontId="80" fillId="6" borderId="4" applyNumberFormat="0" applyAlignment="0" applyProtection="0"/>
    <xf numFmtId="0" fontId="38" fillId="48" borderId="11" applyNumberFormat="0" applyAlignment="0" applyProtection="0"/>
    <xf numFmtId="0" fontId="39" fillId="70" borderId="12" applyNumberFormat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39" fillId="70" borderId="12" applyNumberFormat="0" applyAlignment="0" applyProtection="0"/>
    <xf numFmtId="0" fontId="81" fillId="7" borderId="7" applyNumberFormat="0" applyAlignment="0" applyProtection="0"/>
    <xf numFmtId="167" fontId="41" fillId="0" borderId="0" applyNumberFormat="0" applyFill="0" applyBorder="0" applyProtection="0">
      <alignment horizontal="center"/>
    </xf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67" borderId="0" applyNumberFormat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NumberFormat="0" applyFont="0" applyFill="0" applyBorder="0" applyAlignment="0" applyProtection="0">
      <alignment horizontal="left" vertical="top"/>
    </xf>
    <xf numFmtId="168" fontId="4" fillId="0" borderId="0" applyNumberFormat="0" applyFont="0" applyFill="0" applyBorder="0" applyAlignment="0" applyProtection="0">
      <alignment horizontal="left" vertical="top"/>
      <protection locked="0"/>
    </xf>
    <xf numFmtId="169" fontId="4" fillId="0" borderId="0" applyNumberFormat="0" applyFont="0" applyFill="0" applyBorder="0" applyAlignment="0" applyProtection="0">
      <alignment horizontal="left" vertical="top"/>
    </xf>
    <xf numFmtId="169" fontId="4" fillId="0" borderId="0" applyNumberFormat="0" applyFont="0" applyFill="0" applyBorder="0" applyAlignment="0" applyProtection="0">
      <alignment horizontal="left" vertical="top"/>
      <protection locked="0"/>
    </xf>
    <xf numFmtId="170" fontId="4" fillId="0" borderId="0" applyNumberFormat="0" applyFont="0" applyFill="0" applyBorder="0" applyAlignment="0" applyProtection="0">
      <alignment horizontal="left" vertical="top"/>
    </xf>
    <xf numFmtId="170" fontId="4" fillId="0" borderId="0" applyNumberFormat="0" applyFont="0" applyFill="0" applyBorder="0" applyAlignment="0" applyProtection="0">
      <alignment horizontal="left" vertical="top"/>
      <protection locked="0"/>
    </xf>
    <xf numFmtId="171" fontId="4" fillId="0" borderId="0" applyNumberFormat="0" applyFont="0" applyFill="0" applyBorder="0" applyAlignment="0" applyProtection="0">
      <alignment horizontal="left" vertical="top"/>
    </xf>
    <xf numFmtId="171" fontId="4" fillId="0" borderId="0" applyNumberFormat="0" applyFont="0" applyFill="0" applyBorder="0" applyAlignment="0" applyProtection="0">
      <alignment horizontal="left" vertical="top"/>
      <protection locked="0"/>
    </xf>
    <xf numFmtId="1" fontId="42" fillId="0" borderId="0" applyNumberFormat="0" applyFill="0" applyBorder="0" applyAlignment="0"/>
    <xf numFmtId="165" fontId="4" fillId="71" borderId="0"/>
    <xf numFmtId="14" fontId="26" fillId="0" borderId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72" borderId="14"/>
    <xf numFmtId="0" fontId="43" fillId="73" borderId="0" applyNumberFormat="0" applyBorder="0" applyAlignment="0" applyProtection="0"/>
    <xf numFmtId="0" fontId="43" fillId="74" borderId="0" applyNumberFormat="0" applyBorder="0" applyAlignment="0" applyProtection="0"/>
    <xf numFmtId="0" fontId="43" fillId="75" borderId="0" applyNumberFormat="0" applyBorder="0" applyAlignment="0" applyProtection="0"/>
    <xf numFmtId="0" fontId="44" fillId="0" borderId="0" applyNumberFormat="0" applyFill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67" borderId="0" applyNumberFormat="0" applyBorder="0" applyAlignment="0" applyProtection="0"/>
    <xf numFmtId="0" fontId="45" fillId="44" borderId="11" applyNumberFormat="0" applyAlignment="0" applyProtection="0"/>
    <xf numFmtId="175" fontId="4" fillId="0" borderId="0" applyFont="0" applyFill="0" applyBorder="0" applyAlignment="0" applyProtection="0"/>
    <xf numFmtId="0" fontId="82" fillId="0" borderId="0" applyNumberFormat="0" applyFill="0" applyBorder="0" applyAlignment="0" applyProtection="0"/>
    <xf numFmtId="176" fontId="46" fillId="0" borderId="0">
      <protection locked="0"/>
    </xf>
    <xf numFmtId="1" fontId="26" fillId="0" borderId="0"/>
    <xf numFmtId="167" fontId="47" fillId="0" borderId="0" applyNumberFormat="0" applyFill="0" applyBorder="0" applyProtection="0"/>
    <xf numFmtId="177" fontId="4" fillId="76" borderId="15"/>
    <xf numFmtId="49" fontId="25" fillId="77" borderId="15" applyFont="0"/>
    <xf numFmtId="0" fontId="83" fillId="2" borderId="0" applyNumberFormat="0" applyBorder="0" applyAlignment="0" applyProtection="0"/>
    <xf numFmtId="167" fontId="48" fillId="0" borderId="0" applyNumberFormat="0" applyFill="0" applyBorder="0" applyProtection="0">
      <alignment horizontal="centerContinuous"/>
    </xf>
    <xf numFmtId="0" fontId="49" fillId="0" borderId="0" applyNumberFormat="0" applyFont="0" applyFill="0" applyBorder="0" applyAlignment="0" applyProtection="0">
      <alignment horizontal="left" vertical="top"/>
    </xf>
    <xf numFmtId="0" fontId="50" fillId="0" borderId="0" applyNumberFormat="0" applyFont="0" applyFill="0" applyBorder="0" applyAlignment="0" applyProtection="0">
      <alignment horizontal="left" vertical="top" wrapText="1"/>
    </xf>
    <xf numFmtId="0" fontId="31" fillId="0" borderId="0" applyNumberFormat="0" applyFont="0" applyFill="0" applyBorder="0" applyAlignment="0" applyProtection="0">
      <alignment horizontal="left" vertical="top" wrapText="1"/>
    </xf>
    <xf numFmtId="0" fontId="51" fillId="0" borderId="0" applyNumberFormat="0" applyFont="0" applyFill="0" applyBorder="0" applyAlignment="0" applyProtection="0">
      <alignment horizontal="left" vertical="top" wrapText="1"/>
    </xf>
    <xf numFmtId="0" fontId="32" fillId="0" borderId="0" applyNumberFormat="0" applyFont="0" applyFill="0" applyBorder="0" applyAlignment="0" applyProtection="0">
      <alignment horizontal="left" vertical="top" wrapText="1"/>
    </xf>
    <xf numFmtId="0" fontId="52" fillId="0" borderId="0" applyNumberFormat="0" applyFont="0" applyFill="0" applyBorder="0" applyAlignment="0" applyProtection="0">
      <alignment horizontal="left" vertical="top"/>
    </xf>
    <xf numFmtId="0" fontId="84" fillId="0" borderId="1" applyNumberFormat="0" applyFill="0" applyAlignment="0" applyProtection="0"/>
    <xf numFmtId="0" fontId="85" fillId="0" borderId="2" applyNumberFormat="0" applyFill="0" applyAlignment="0" applyProtection="0"/>
    <xf numFmtId="0" fontId="86" fillId="0" borderId="3" applyNumberFormat="0" applyFill="0" applyAlignment="0" applyProtection="0"/>
    <xf numFmtId="0" fontId="86" fillId="0" borderId="0" applyNumberFormat="0" applyFill="0" applyBorder="0" applyAlignment="0" applyProtection="0"/>
    <xf numFmtId="178" fontId="53" fillId="0" borderId="0">
      <protection locked="0"/>
    </xf>
    <xf numFmtId="178" fontId="53" fillId="0" borderId="0">
      <protection locked="0"/>
    </xf>
    <xf numFmtId="0" fontId="4" fillId="0" borderId="0" applyNumberFormat="0" applyFont="0" applyFill="0" applyBorder="0" applyAlignment="0" applyProtection="0">
      <alignment horizontal="left" vertical="top" wrapText="1"/>
    </xf>
    <xf numFmtId="0" fontId="54" fillId="38" borderId="0" applyNumberFormat="0" applyBorder="0" applyAlignment="0" applyProtection="0"/>
    <xf numFmtId="0" fontId="87" fillId="5" borderId="4" applyNumberFormat="0" applyAlignment="0" applyProtection="0"/>
    <xf numFmtId="0" fontId="88" fillId="0" borderId="6" applyNumberFormat="0" applyFill="0" applyAlignment="0" applyProtection="0"/>
    <xf numFmtId="179" fontId="4" fillId="0" borderId="0" applyFont="0" applyFill="0" applyBorder="0" applyAlignment="0" applyProtection="0"/>
    <xf numFmtId="167" fontId="55" fillId="0" borderId="0" applyNumberFormat="0" applyFill="0" applyBorder="0" applyProtection="0"/>
    <xf numFmtId="4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36" fillId="0" borderId="0" applyNumberFormat="0" applyFill="0" applyBorder="0" applyProtection="0">
      <alignment horizontal="centerContinuous"/>
    </xf>
    <xf numFmtId="0" fontId="89" fillId="4" borderId="0" applyNumberFormat="0" applyBorder="0" applyAlignment="0" applyProtection="0"/>
    <xf numFmtId="0" fontId="56" fillId="78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1" fillId="0" borderId="0"/>
    <xf numFmtId="0" fontId="77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167" fontId="57" fillId="0" borderId="0"/>
    <xf numFmtId="0" fontId="4" fillId="0" borderId="0"/>
    <xf numFmtId="0" fontId="4" fillId="0" borderId="0"/>
    <xf numFmtId="0" fontId="1" fillId="0" borderId="0"/>
    <xf numFmtId="0" fontId="77" fillId="0" borderId="0"/>
    <xf numFmtId="0" fontId="1" fillId="0" borderId="0"/>
    <xf numFmtId="0" fontId="7" fillId="0" borderId="0"/>
    <xf numFmtId="0" fontId="58" fillId="39" borderId="22" applyNumberFormat="0" applyFont="0" applyAlignment="0" applyProtection="0"/>
    <xf numFmtId="0" fontId="4" fillId="39" borderId="22" applyNumberFormat="0" applyFont="0" applyAlignment="0" applyProtection="0"/>
    <xf numFmtId="0" fontId="4" fillId="39" borderId="22" applyNumberFormat="0" applyFont="0" applyAlignment="0" applyProtection="0"/>
    <xf numFmtId="0" fontId="77" fillId="8" borderId="8" applyNumberFormat="0" applyFont="0" applyAlignment="0" applyProtection="0"/>
    <xf numFmtId="10" fontId="4" fillId="0" borderId="0" applyNumberFormat="0" applyFont="0" applyFill="0" applyBorder="0" applyAlignment="0" applyProtection="0">
      <alignment horizontal="left" vertical="top"/>
    </xf>
    <xf numFmtId="10" fontId="4" fillId="0" borderId="0" applyNumberFormat="0" applyFont="0" applyFill="0" applyBorder="0" applyAlignment="0" applyProtection="0">
      <alignment horizontal="left" vertical="top"/>
      <protection locked="0"/>
    </xf>
    <xf numFmtId="3" fontId="4" fillId="0" borderId="0" applyNumberFormat="0" applyFont="0" applyFill="0" applyBorder="0" applyAlignment="0" applyProtection="0">
      <alignment horizontal="left" vertical="top"/>
    </xf>
    <xf numFmtId="3" fontId="4" fillId="0" borderId="0" applyNumberFormat="0" applyFont="0" applyFill="0" applyBorder="0" applyAlignment="0" applyProtection="0">
      <alignment horizontal="left" vertical="top"/>
      <protection locked="0"/>
    </xf>
    <xf numFmtId="4" fontId="4" fillId="0" borderId="0" applyNumberFormat="0" applyFont="0" applyFill="0" applyBorder="0" applyAlignment="0" applyProtection="0">
      <alignment horizontal="left" vertical="top"/>
    </xf>
    <xf numFmtId="4" fontId="4" fillId="0" borderId="0" applyNumberFormat="0" applyFont="0" applyFill="0" applyBorder="0" applyAlignment="0" applyProtection="0">
      <alignment horizontal="left" vertical="top"/>
      <protection locked="0"/>
    </xf>
    <xf numFmtId="0" fontId="90" fillId="6" borderId="5" applyNumberForma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9" fillId="48" borderId="23" applyNumberFormat="0" applyAlignment="0" applyProtection="0"/>
    <xf numFmtId="4" fontId="27" fillId="78" borderId="24" applyNumberFormat="0" applyProtection="0">
      <alignment vertical="center"/>
    </xf>
    <xf numFmtId="4" fontId="60" fillId="72" borderId="24" applyNumberFormat="0" applyProtection="0">
      <alignment vertical="center"/>
    </xf>
    <xf numFmtId="4" fontId="27" fillId="72" borderId="24" applyNumberFormat="0" applyProtection="0">
      <alignment horizontal="left" vertical="center" indent="1"/>
    </xf>
    <xf numFmtId="0" fontId="27" fillId="72" borderId="24" applyNumberFormat="0" applyProtection="0">
      <alignment horizontal="left" vertical="top" indent="1"/>
    </xf>
    <xf numFmtId="4" fontId="42" fillId="68" borderId="0" applyNumberFormat="0" applyProtection="0">
      <alignment horizontal="left" vertical="center" indent="1"/>
    </xf>
    <xf numFmtId="4" fontId="7" fillId="38" borderId="24" applyNumberFormat="0" applyProtection="0">
      <alignment horizontal="right" vertical="center"/>
    </xf>
    <xf numFmtId="4" fontId="7" fillId="46" borderId="24" applyNumberFormat="0" applyProtection="0">
      <alignment horizontal="right" vertical="center"/>
    </xf>
    <xf numFmtId="4" fontId="7" fillId="58" borderId="24" applyNumberFormat="0" applyProtection="0">
      <alignment horizontal="right" vertical="center"/>
    </xf>
    <xf numFmtId="4" fontId="7" fillId="49" borderId="24" applyNumberFormat="0" applyProtection="0">
      <alignment horizontal="right" vertical="center"/>
    </xf>
    <xf numFmtId="4" fontId="7" fillId="53" borderId="24" applyNumberFormat="0" applyProtection="0">
      <alignment horizontal="right" vertical="center"/>
    </xf>
    <xf numFmtId="4" fontId="7" fillId="67" borderId="24" applyNumberFormat="0" applyProtection="0">
      <alignment horizontal="right" vertical="center"/>
    </xf>
    <xf numFmtId="4" fontId="7" fillId="62" borderId="24" applyNumberFormat="0" applyProtection="0">
      <alignment horizontal="right" vertical="center"/>
    </xf>
    <xf numFmtId="4" fontId="7" fillId="79" borderId="24" applyNumberFormat="0" applyProtection="0">
      <alignment horizontal="right" vertical="center"/>
    </xf>
    <xf numFmtId="4" fontId="7" fillId="47" borderId="24" applyNumberFormat="0" applyProtection="0">
      <alignment horizontal="right" vertical="center"/>
    </xf>
    <xf numFmtId="4" fontId="27" fillId="0" borderId="0" applyNumberFormat="0" applyProtection="0">
      <alignment horizontal="left" vertical="center" indent="1"/>
    </xf>
    <xf numFmtId="4" fontId="7" fillId="80" borderId="0" applyNumberFormat="0" applyProtection="0">
      <alignment horizontal="left" vertical="center" indent="1"/>
    </xf>
    <xf numFmtId="4" fontId="61" fillId="81" borderId="0" applyNumberFormat="0" applyProtection="0">
      <alignment horizontal="left" vertical="center" indent="1"/>
    </xf>
    <xf numFmtId="4" fontId="7" fillId="82" borderId="24" applyNumberFormat="0" applyProtection="0">
      <alignment horizontal="right" vertical="center"/>
    </xf>
    <xf numFmtId="4" fontId="62" fillId="0" borderId="0" applyNumberFormat="0" applyProtection="0">
      <alignment horizontal="left" vertical="center" indent="1"/>
    </xf>
    <xf numFmtId="4" fontId="42" fillId="68" borderId="0" applyNumberFormat="0" applyProtection="0">
      <alignment horizontal="left" vertical="center" indent="1"/>
    </xf>
    <xf numFmtId="0" fontId="42" fillId="49" borderId="24" applyNumberFormat="0" applyProtection="0">
      <alignment horizontal="left" vertical="center" indent="1"/>
    </xf>
    <xf numFmtId="0" fontId="42" fillId="49" borderId="24" applyNumberFormat="0" applyProtection="0">
      <alignment horizontal="left" vertical="top" indent="1"/>
    </xf>
    <xf numFmtId="0" fontId="42" fillId="82" borderId="24" applyNumberFormat="0" applyProtection="0">
      <alignment horizontal="left" vertical="center" indent="1"/>
    </xf>
    <xf numFmtId="0" fontId="42" fillId="82" borderId="24" applyNumberFormat="0" applyProtection="0">
      <alignment horizontal="left" vertical="top" indent="1"/>
    </xf>
    <xf numFmtId="0" fontId="42" fillId="83" borderId="24" applyNumberFormat="0" applyProtection="0">
      <alignment horizontal="left" vertical="center" indent="1"/>
    </xf>
    <xf numFmtId="0" fontId="42" fillId="84" borderId="24" applyNumberFormat="0" applyProtection="0">
      <alignment horizontal="left" vertical="top" indent="1"/>
    </xf>
    <xf numFmtId="0" fontId="42" fillId="0" borderId="24" applyNumberFormat="0" applyProtection="0">
      <alignment horizontal="left" vertical="center" indent="1"/>
    </xf>
    <xf numFmtId="0" fontId="42" fillId="0" borderId="24" applyNumberFormat="0" applyProtection="0">
      <alignment horizontal="left" vertical="top" indent="1"/>
    </xf>
    <xf numFmtId="0" fontId="4" fillId="71" borderId="0"/>
    <xf numFmtId="4" fontId="7" fillId="34" borderId="24" applyNumberFormat="0" applyProtection="0">
      <alignment vertical="center"/>
    </xf>
    <xf numFmtId="4" fontId="63" fillId="34" borderId="24" applyNumberFormat="0" applyProtection="0">
      <alignment vertical="center"/>
    </xf>
    <xf numFmtId="4" fontId="7" fillId="34" borderId="24" applyNumberFormat="0" applyProtection="0">
      <alignment horizontal="left" vertical="center" indent="1"/>
    </xf>
    <xf numFmtId="0" fontId="7" fillId="34" borderId="24" applyNumberFormat="0" applyProtection="0">
      <alignment horizontal="left" vertical="top" indent="1"/>
    </xf>
    <xf numFmtId="4" fontId="62" fillId="0" borderId="24" applyNumberFormat="0" applyProtection="0">
      <alignment horizontal="right" vertical="center"/>
    </xf>
    <xf numFmtId="4" fontId="63" fillId="85" borderId="24" applyNumberFormat="0" applyProtection="0">
      <alignment horizontal="right" vertical="center"/>
    </xf>
    <xf numFmtId="4" fontId="62" fillId="80" borderId="24" applyNumberFormat="0" applyProtection="0">
      <alignment horizontal="left" vertical="center" indent="1"/>
    </xf>
    <xf numFmtId="0" fontId="62" fillId="82" borderId="24" applyNumberFormat="0" applyProtection="0">
      <alignment horizontal="left" vertical="top" indent="1"/>
    </xf>
    <xf numFmtId="4" fontId="64" fillId="0" borderId="0" applyNumberFormat="0" applyProtection="0">
      <alignment horizontal="left" vertical="center" indent="1"/>
    </xf>
    <xf numFmtId="4" fontId="65" fillId="85" borderId="24" applyNumberFormat="0" applyProtection="0">
      <alignment horizontal="right" vertical="center"/>
    </xf>
    <xf numFmtId="0" fontId="66" fillId="0" borderId="0" applyNumberFormat="0" applyFill="0" applyBorder="0" applyAlignment="0" applyProtection="0"/>
    <xf numFmtId="183" fontId="4" fillId="0" borderId="0" applyFont="0" applyFill="0" applyBorder="0" applyAlignment="0" applyProtection="0"/>
    <xf numFmtId="0" fontId="6" fillId="0" borderId="0"/>
    <xf numFmtId="0" fontId="6" fillId="0" borderId="0"/>
    <xf numFmtId="0" fontId="67" fillId="0" borderId="0"/>
    <xf numFmtId="0" fontId="4" fillId="0" borderId="0" applyNumberFormat="0" applyFont="0" applyFill="0" applyBorder="0" applyAlignment="0" applyProtection="0">
      <alignment horizontal="left" vertical="top" wrapText="1"/>
    </xf>
    <xf numFmtId="0" fontId="4" fillId="0" borderId="0" applyNumberFormat="0" applyFont="0" applyFill="0" applyBorder="0" applyAlignment="0" applyProtection="0">
      <alignment horizontal="left" vertical="top" wrapText="1"/>
      <protection locked="0"/>
    </xf>
    <xf numFmtId="0" fontId="4" fillId="0" borderId="0" applyNumberFormat="0" applyFont="0" applyFill="0" applyBorder="0" applyAlignment="0" applyProtection="0">
      <alignment horizontal="left" vertical="top" wrapText="1"/>
    </xf>
    <xf numFmtId="0" fontId="4" fillId="0" borderId="0" applyNumberFormat="0" applyFont="0" applyFill="0" applyBorder="0" applyAlignment="0" applyProtection="0">
      <alignment horizontal="left" vertical="top" wrapText="1"/>
      <protection locked="0"/>
    </xf>
    <xf numFmtId="0" fontId="6" fillId="0" borderId="0"/>
    <xf numFmtId="167" fontId="48" fillId="0" borderId="0" applyNumberFormat="0" applyFill="0" applyBorder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4" fontId="70" fillId="0" borderId="0" applyNumberFormat="0" applyFill="0" applyBorder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7" applyNumberFormat="0" applyFill="0" applyAlignment="0" applyProtection="0"/>
    <xf numFmtId="0" fontId="73" fillId="0" borderId="19" applyNumberFormat="0" applyFill="0" applyAlignment="0" applyProtection="0"/>
    <xf numFmtId="0" fontId="44" fillId="0" borderId="21" applyNumberFormat="0" applyFill="0" applyAlignment="0" applyProtection="0"/>
    <xf numFmtId="0" fontId="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7" applyNumberFormat="0" applyFill="0" applyAlignment="0" applyProtection="0"/>
    <xf numFmtId="0" fontId="73" fillId="0" borderId="19" applyNumberFormat="0" applyFill="0" applyAlignment="0" applyProtection="0"/>
    <xf numFmtId="0" fontId="44" fillId="0" borderId="21" applyNumberFormat="0" applyFill="0" applyAlignment="0" applyProtection="0"/>
    <xf numFmtId="0" fontId="74" fillId="0" borderId="0" applyNumberFormat="0" applyFill="0" applyBorder="0" applyAlignment="0" applyProtection="0"/>
    <xf numFmtId="184" fontId="75" fillId="0" borderId="0" applyNumberFormat="0" applyFill="0" applyBorder="0" applyProtection="0"/>
    <xf numFmtId="0" fontId="92" fillId="0" borderId="9" applyNumberFormat="0" applyFill="0" applyAlignment="0" applyProtection="0"/>
    <xf numFmtId="0" fontId="43" fillId="0" borderId="26" applyNumberFormat="0" applyFill="0" applyAlignment="0" applyProtection="0"/>
    <xf numFmtId="0" fontId="54" fillId="38" borderId="0" applyNumberFormat="0" applyBorder="0" applyAlignment="0" applyProtection="0"/>
    <xf numFmtId="0" fontId="37" fillId="40" borderId="0" applyNumberFormat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" fillId="52" borderId="0" applyNumberFormat="0" applyBorder="0" applyAlignment="0" applyProtection="0"/>
    <xf numFmtId="0" fontId="9" fillId="58" borderId="0" applyNumberFormat="0" applyBorder="0" applyAlignment="0" applyProtection="0"/>
    <xf numFmtId="0" fontId="9" fillId="62" borderId="0" applyNumberFormat="0" applyBorder="0" applyAlignment="0" applyProtection="0"/>
    <xf numFmtId="0" fontId="9" fillId="66" borderId="0" applyNumberFormat="0" applyBorder="0" applyAlignment="0" applyProtection="0"/>
    <xf numFmtId="0" fontId="9" fillId="52" borderId="0" applyNumberFormat="0" applyBorder="0" applyAlignment="0" applyProtection="0"/>
    <xf numFmtId="0" fontId="9" fillId="67" borderId="0" applyNumberFormat="0" applyBorder="0" applyAlignment="0" applyProtection="0"/>
    <xf numFmtId="0" fontId="4" fillId="39" borderId="22" applyNumberFormat="0" applyFont="0" applyAlignment="0" applyProtection="0"/>
    <xf numFmtId="0" fontId="10" fillId="41" borderId="11" applyNumberFormat="0" applyAlignment="0" applyProtection="0"/>
    <xf numFmtId="0" fontId="11" fillId="40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8" applyNumberFormat="0" applyFill="0" applyAlignment="0" applyProtection="0"/>
    <xf numFmtId="0" fontId="17" fillId="0" borderId="20" applyNumberFormat="0" applyFill="0" applyAlignment="0" applyProtection="0"/>
    <xf numFmtId="0" fontId="1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78" borderId="0" applyNumberFormat="0" applyBorder="0" applyAlignment="0" applyProtection="0"/>
    <xf numFmtId="0" fontId="6" fillId="0" borderId="0"/>
    <xf numFmtId="0" fontId="19" fillId="0" borderId="25" applyNumberFormat="0" applyFill="0" applyAlignment="0" applyProtection="0"/>
    <xf numFmtId="0" fontId="20" fillId="41" borderId="23" applyNumberFormat="0" applyAlignment="0" applyProtection="0"/>
    <xf numFmtId="0" fontId="21" fillId="44" borderId="11" applyNumberFormat="0" applyAlignment="0" applyProtection="0"/>
    <xf numFmtId="0" fontId="22" fillId="38" borderId="0" applyNumberFormat="0" applyBorder="0" applyAlignment="0" applyProtection="0"/>
    <xf numFmtId="0" fontId="23" fillId="70" borderId="12" applyNumberFormat="0" applyAlignment="0" applyProtection="0"/>
    <xf numFmtId="0" fontId="24" fillId="0" borderId="13" applyNumberFormat="0" applyFill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0" fontId="94" fillId="0" borderId="0" xfId="1" applyFont="1"/>
    <xf numFmtId="0" fontId="95" fillId="0" borderId="0" xfId="1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5" fillId="0" borderId="0" xfId="1" applyFont="1"/>
    <xf numFmtId="0" fontId="76" fillId="0" borderId="0" xfId="1" applyFont="1" applyAlignment="1">
      <alignment horizontal="center"/>
    </xf>
    <xf numFmtId="0" fontId="3" fillId="0" borderId="0" xfId="1" applyAlignment="1">
      <alignment horizontal="center"/>
    </xf>
    <xf numFmtId="3" fontId="0" fillId="0" borderId="0" xfId="0" applyNumberFormat="1"/>
    <xf numFmtId="0" fontId="5" fillId="0" borderId="0" xfId="1" applyFont="1" applyAlignment="1">
      <alignment horizontal="center"/>
    </xf>
    <xf numFmtId="14" fontId="76" fillId="0" borderId="0" xfId="1" applyNumberFormat="1" applyFont="1" applyAlignment="1">
      <alignment horizontal="center"/>
    </xf>
    <xf numFmtId="0" fontId="96" fillId="0" borderId="0" xfId="0" applyFont="1"/>
    <xf numFmtId="0" fontId="96" fillId="0" borderId="0" xfId="0" applyFont="1" applyAlignment="1">
      <alignment wrapText="1"/>
    </xf>
    <xf numFmtId="0" fontId="96" fillId="0" borderId="27" xfId="0" applyFont="1" applyBorder="1"/>
    <xf numFmtId="10" fontId="0" fillId="0" borderId="0" xfId="378" applyNumberFormat="1" applyFont="1"/>
    <xf numFmtId="0" fontId="0" fillId="0" borderId="27" xfId="0" applyBorder="1"/>
    <xf numFmtId="9" fontId="0" fillId="0" borderId="27" xfId="0" applyNumberFormat="1" applyBorder="1"/>
    <xf numFmtId="9" fontId="0" fillId="0" borderId="0" xfId="0" applyNumberFormat="1"/>
    <xf numFmtId="1" fontId="0" fillId="0" borderId="0" xfId="0" applyNumberFormat="1"/>
    <xf numFmtId="189" fontId="0" fillId="0" borderId="0" xfId="0" applyNumberFormat="1"/>
    <xf numFmtId="14" fontId="2" fillId="0" borderId="0" xfId="0" applyNumberFormat="1" applyFont="1"/>
  </cellXfs>
  <cellStyles count="379">
    <cellStyle name="$" xfId="2" xr:uid="{00000000-0005-0000-0000-000000000000}"/>
    <cellStyle name="%" xfId="3" xr:uid="{00000000-0005-0000-0000-000001000000}"/>
    <cellStyle name="____Solvay - Combined Data" xfId="4" xr:uid="{00000000-0005-0000-0000-000002000000}"/>
    <cellStyle name="____Solvay - Combined Data_2009 JP1-D_TP_20091211" xfId="5" xr:uid="{00000000-0005-0000-0000-000003000000}"/>
    <cellStyle name="_2009 JP1-D_TP_20091211" xfId="6" xr:uid="{00000000-0005-0000-0000-000004000000}"/>
    <cellStyle name="_Column1" xfId="7" xr:uid="{00000000-0005-0000-0000-000005000000}"/>
    <cellStyle name="_Column1_RückLieferung_05 an DPDHL 02022010 Kontrolle 20100203 final" xfId="8" xr:uid="{00000000-0005-0000-0000-000006000000}"/>
    <cellStyle name="_Column2" xfId="9" xr:uid="{00000000-0005-0000-0000-000007000000}"/>
    <cellStyle name="_Column3" xfId="10" xr:uid="{00000000-0005-0000-0000-000008000000}"/>
    <cellStyle name="_Column4" xfId="11" xr:uid="{00000000-0005-0000-0000-000009000000}"/>
    <cellStyle name="_Column4_RückLieferung_05 an DPDHL 02022010 Kontrolle 20100203 final" xfId="12" xr:uid="{00000000-0005-0000-0000-00000A000000}"/>
    <cellStyle name="_Column5" xfId="13" xr:uid="{00000000-0005-0000-0000-00000B000000}"/>
    <cellStyle name="_Column6" xfId="14" xr:uid="{00000000-0005-0000-0000-00000C000000}"/>
    <cellStyle name="_Column7" xfId="15" xr:uid="{00000000-0005-0000-0000-00000D000000}"/>
    <cellStyle name="_Data" xfId="16" xr:uid="{00000000-0005-0000-0000-00000E000000}"/>
    <cellStyle name="_Data_RückLieferung_05 an DPDHL 02022010 Kontrolle 20100203 final" xfId="17" xr:uid="{00000000-0005-0000-0000-00000F000000}"/>
    <cellStyle name="_FAS_87  2008 EDS Italy Final - check_FB" xfId="18" xr:uid="{00000000-0005-0000-0000-000010000000}"/>
    <cellStyle name="_FAS_87  2008 EDS Italy Final - check_FB_2009 JP1-D_TP_20091211" xfId="19" xr:uid="{00000000-0005-0000-0000-000011000000}"/>
    <cellStyle name="_FAS87 anno 2007_903 - PLC (FRANS)" xfId="20" xr:uid="{00000000-0005-0000-0000-000012000000}"/>
    <cellStyle name="_FAS87 anno 2007_903 - PLC (FRANS)_2009 JP1-D_TP_20091211" xfId="21" xr:uid="{00000000-0005-0000-0000-000013000000}"/>
    <cellStyle name="_Header" xfId="22" xr:uid="{00000000-0005-0000-0000-000014000000}"/>
    <cellStyle name="_IAS19_ResultsFYE2008_FR101-104-106-111-113_RI plans" xfId="23" xr:uid="{00000000-0005-0000-0000-000015000000}"/>
    <cellStyle name="_IAS19_ResultsFYE2008_FR103-105-107-108_RI plans" xfId="24" xr:uid="{00000000-0005-0000-0000-000016000000}"/>
    <cellStyle name="_IAS19_ResultsFYE2008_FR109_RI plan" xfId="25" xr:uid="{00000000-0005-0000-0000-000017000000}"/>
    <cellStyle name="_IAS19_ResultsFYE2008_FR110-115_RI plans" xfId="26" xr:uid="{00000000-0005-0000-0000-000018000000}"/>
    <cellStyle name="_Row1" xfId="27" xr:uid="{00000000-0005-0000-0000-000019000000}"/>
    <cellStyle name="_Row1_RückLieferung_05 an DPDHL 02022010 Kontrolle 20100203 final" xfId="28" xr:uid="{00000000-0005-0000-0000-00001A000000}"/>
    <cellStyle name="_Row2" xfId="29" xr:uid="{00000000-0005-0000-0000-00001B000000}"/>
    <cellStyle name="_Row3" xfId="30" xr:uid="{00000000-0005-0000-0000-00001C000000}"/>
    <cellStyle name="_Row4" xfId="31" xr:uid="{00000000-0005-0000-0000-00001D000000}"/>
    <cellStyle name="_Row5" xfId="32" xr:uid="{00000000-0005-0000-0000-00001E000000}"/>
    <cellStyle name="_Row6" xfId="33" xr:uid="{00000000-0005-0000-0000-00001F000000}"/>
    <cellStyle name="_Row7" xfId="34" xr:uid="{00000000-0005-0000-0000-000020000000}"/>
    <cellStyle name="_SCA P. Italia - check_FB" xfId="35" xr:uid="{00000000-0005-0000-0000-000021000000}"/>
    <cellStyle name="_SCA P. Italia - check_FB_2009 JP1-D_TP_20091211" xfId="36" xr:uid="{00000000-0005-0000-0000-000022000000}"/>
    <cellStyle name="_Solvay - Combined Data - STILL TO BE DONE" xfId="37" xr:uid="{00000000-0005-0000-0000-000023000000}"/>
    <cellStyle name="_Solvay - Combined Data - STILL TO BE DONE_2009 JP1-D_TP_20091211" xfId="38" xr:uid="{00000000-0005-0000-0000-000024000000}"/>
    <cellStyle name="20% - Accent1 2" xfId="39" xr:uid="{00000000-0005-0000-0000-000025000000}"/>
    <cellStyle name="20% - Accent2 2" xfId="40" xr:uid="{00000000-0005-0000-0000-000026000000}"/>
    <cellStyle name="20% - Accent3 2" xfId="41" xr:uid="{00000000-0005-0000-0000-000027000000}"/>
    <cellStyle name="20% - Accent4 2" xfId="42" xr:uid="{00000000-0005-0000-0000-000028000000}"/>
    <cellStyle name="20% - Accent5 2" xfId="43" xr:uid="{00000000-0005-0000-0000-000029000000}"/>
    <cellStyle name="20% - Accent6 2" xfId="44" xr:uid="{00000000-0005-0000-0000-00002A000000}"/>
    <cellStyle name="20% - Colore 1" xfId="45" xr:uid="{00000000-0005-0000-0000-00002B000000}"/>
    <cellStyle name="20% - Colore 2" xfId="46" xr:uid="{00000000-0005-0000-0000-00002C000000}"/>
    <cellStyle name="20% - Colore 3" xfId="47" xr:uid="{00000000-0005-0000-0000-00002D000000}"/>
    <cellStyle name="20% - Colore 4" xfId="48" xr:uid="{00000000-0005-0000-0000-00002E000000}"/>
    <cellStyle name="20% - Colore 5" xfId="49" xr:uid="{00000000-0005-0000-0000-00002F000000}"/>
    <cellStyle name="20% - Colore 6" xfId="50" xr:uid="{00000000-0005-0000-0000-000030000000}"/>
    <cellStyle name="20% - Énfasis1" xfId="51" xr:uid="{00000000-0005-0000-0000-000031000000}"/>
    <cellStyle name="20% - Énfasis2" xfId="52" xr:uid="{00000000-0005-0000-0000-000032000000}"/>
    <cellStyle name="20% - Énfasis3" xfId="53" xr:uid="{00000000-0005-0000-0000-000033000000}"/>
    <cellStyle name="20% - Énfasis4" xfId="54" xr:uid="{00000000-0005-0000-0000-000034000000}"/>
    <cellStyle name="20% - Énfasis5" xfId="55" xr:uid="{00000000-0005-0000-0000-000035000000}"/>
    <cellStyle name="20% - Énfasis6" xfId="56" xr:uid="{00000000-0005-0000-0000-000036000000}"/>
    <cellStyle name="20% - הדגשה1 2" xfId="57" xr:uid="{00000000-0005-0000-0000-000037000000}"/>
    <cellStyle name="20% - הדגשה2 2" xfId="58" xr:uid="{00000000-0005-0000-0000-000038000000}"/>
    <cellStyle name="20% - הדגשה3 2" xfId="59" xr:uid="{00000000-0005-0000-0000-000039000000}"/>
    <cellStyle name="20% - הדגשה4 2" xfId="60" xr:uid="{00000000-0005-0000-0000-00003A000000}"/>
    <cellStyle name="20% - הדגשה5 2" xfId="61" xr:uid="{00000000-0005-0000-0000-00003B000000}"/>
    <cellStyle name="20% - הדגשה6 2" xfId="62" xr:uid="{00000000-0005-0000-0000-00003C000000}"/>
    <cellStyle name="40% - Accent1 2" xfId="63" xr:uid="{00000000-0005-0000-0000-00003D000000}"/>
    <cellStyle name="40% - Accent2 2" xfId="64" xr:uid="{00000000-0005-0000-0000-00003E000000}"/>
    <cellStyle name="40% - Accent3 2" xfId="65" xr:uid="{00000000-0005-0000-0000-00003F000000}"/>
    <cellStyle name="40% - Accent4 2" xfId="66" xr:uid="{00000000-0005-0000-0000-000040000000}"/>
    <cellStyle name="40% - Accent5 2" xfId="67" xr:uid="{00000000-0005-0000-0000-000041000000}"/>
    <cellStyle name="40% - Accent6 2" xfId="68" xr:uid="{00000000-0005-0000-0000-000042000000}"/>
    <cellStyle name="40% - Colore 1" xfId="69" xr:uid="{00000000-0005-0000-0000-000043000000}"/>
    <cellStyle name="40% - Colore 2" xfId="70" xr:uid="{00000000-0005-0000-0000-000044000000}"/>
    <cellStyle name="40% - Colore 3" xfId="71" xr:uid="{00000000-0005-0000-0000-000045000000}"/>
    <cellStyle name="40% - Colore 4" xfId="72" xr:uid="{00000000-0005-0000-0000-000046000000}"/>
    <cellStyle name="40% - Colore 5" xfId="73" xr:uid="{00000000-0005-0000-0000-000047000000}"/>
    <cellStyle name="40% - Colore 6" xfId="74" xr:uid="{00000000-0005-0000-0000-000048000000}"/>
    <cellStyle name="40% - Énfasis1" xfId="75" xr:uid="{00000000-0005-0000-0000-000049000000}"/>
    <cellStyle name="40% - Énfasis2" xfId="76" xr:uid="{00000000-0005-0000-0000-00004A000000}"/>
    <cellStyle name="40% - Énfasis3" xfId="77" xr:uid="{00000000-0005-0000-0000-00004B000000}"/>
    <cellStyle name="40% - Énfasis4" xfId="78" xr:uid="{00000000-0005-0000-0000-00004C000000}"/>
    <cellStyle name="40% - Énfasis5" xfId="79" xr:uid="{00000000-0005-0000-0000-00004D000000}"/>
    <cellStyle name="40% - Énfasis6" xfId="80" xr:uid="{00000000-0005-0000-0000-00004E000000}"/>
    <cellStyle name="40% - הדגשה1 2" xfId="81" xr:uid="{00000000-0005-0000-0000-00004F000000}"/>
    <cellStyle name="40% - הדגשה2 2" xfId="82" xr:uid="{00000000-0005-0000-0000-000050000000}"/>
    <cellStyle name="40% - הדגשה3 2" xfId="83" xr:uid="{00000000-0005-0000-0000-000051000000}"/>
    <cellStyle name="40% - הדגשה4 2" xfId="84" xr:uid="{00000000-0005-0000-0000-000052000000}"/>
    <cellStyle name="40% - הדגשה5 2" xfId="85" xr:uid="{00000000-0005-0000-0000-000053000000}"/>
    <cellStyle name="40% - הדגשה6 2" xfId="86" xr:uid="{00000000-0005-0000-0000-000054000000}"/>
    <cellStyle name="60% - Accent1 2" xfId="87" xr:uid="{00000000-0005-0000-0000-000055000000}"/>
    <cellStyle name="60% - Accent2 2" xfId="88" xr:uid="{00000000-0005-0000-0000-000056000000}"/>
    <cellStyle name="60% - Accent3 2" xfId="89" xr:uid="{00000000-0005-0000-0000-000057000000}"/>
    <cellStyle name="60% - Accent4 2" xfId="90" xr:uid="{00000000-0005-0000-0000-000058000000}"/>
    <cellStyle name="60% - Accent5 2" xfId="91" xr:uid="{00000000-0005-0000-0000-000059000000}"/>
    <cellStyle name="60% - Accent6 2" xfId="92" xr:uid="{00000000-0005-0000-0000-00005A000000}"/>
    <cellStyle name="60% - Colore 1" xfId="93" xr:uid="{00000000-0005-0000-0000-00005B000000}"/>
    <cellStyle name="60% - Colore 2" xfId="94" xr:uid="{00000000-0005-0000-0000-00005C000000}"/>
    <cellStyle name="60% - Colore 3" xfId="95" xr:uid="{00000000-0005-0000-0000-00005D000000}"/>
    <cellStyle name="60% - Colore 4" xfId="96" xr:uid="{00000000-0005-0000-0000-00005E000000}"/>
    <cellStyle name="60% - Colore 5" xfId="97" xr:uid="{00000000-0005-0000-0000-00005F000000}"/>
    <cellStyle name="60% - Colore 6" xfId="98" xr:uid="{00000000-0005-0000-0000-000060000000}"/>
    <cellStyle name="60% - Énfasis1" xfId="99" xr:uid="{00000000-0005-0000-0000-000061000000}"/>
    <cellStyle name="60% - Énfasis2" xfId="100" xr:uid="{00000000-0005-0000-0000-000062000000}"/>
    <cellStyle name="60% - Énfasis3" xfId="101" xr:uid="{00000000-0005-0000-0000-000063000000}"/>
    <cellStyle name="60% - Énfasis4" xfId="102" xr:uid="{00000000-0005-0000-0000-000064000000}"/>
    <cellStyle name="60% - Énfasis5" xfId="103" xr:uid="{00000000-0005-0000-0000-000065000000}"/>
    <cellStyle name="60% - Énfasis6" xfId="104" xr:uid="{00000000-0005-0000-0000-000066000000}"/>
    <cellStyle name="60% - הדגשה1 2" xfId="105" xr:uid="{00000000-0005-0000-0000-000067000000}"/>
    <cellStyle name="60% - הדגשה2 2" xfId="106" xr:uid="{00000000-0005-0000-0000-000068000000}"/>
    <cellStyle name="60% - הדגשה3 2" xfId="107" xr:uid="{00000000-0005-0000-0000-000069000000}"/>
    <cellStyle name="60% - הדגשה4 2" xfId="108" xr:uid="{00000000-0005-0000-0000-00006A000000}"/>
    <cellStyle name="60% - הדגשה5 2" xfId="109" xr:uid="{00000000-0005-0000-0000-00006B000000}"/>
    <cellStyle name="60% - הדגשה6 2" xfId="110" xr:uid="{00000000-0005-0000-0000-00006C000000}"/>
    <cellStyle name="Accent1 - 20%" xfId="111" xr:uid="{00000000-0005-0000-0000-00006D000000}"/>
    <cellStyle name="Accent1 - 40%" xfId="112" xr:uid="{00000000-0005-0000-0000-00006E000000}"/>
    <cellStyle name="Accent1 - 60%" xfId="113" xr:uid="{00000000-0005-0000-0000-00006F000000}"/>
    <cellStyle name="Accent1 2" xfId="114" xr:uid="{00000000-0005-0000-0000-000070000000}"/>
    <cellStyle name="Accent2 - 20%" xfId="115" xr:uid="{00000000-0005-0000-0000-000071000000}"/>
    <cellStyle name="Accent2 - 40%" xfId="116" xr:uid="{00000000-0005-0000-0000-000072000000}"/>
    <cellStyle name="Accent2 - 60%" xfId="117" xr:uid="{00000000-0005-0000-0000-000073000000}"/>
    <cellStyle name="Accent2 2" xfId="118" xr:uid="{00000000-0005-0000-0000-000074000000}"/>
    <cellStyle name="Accent3 - 20%" xfId="119" xr:uid="{00000000-0005-0000-0000-000075000000}"/>
    <cellStyle name="Accent3 - 40%" xfId="120" xr:uid="{00000000-0005-0000-0000-000076000000}"/>
    <cellStyle name="Accent3 - 60%" xfId="121" xr:uid="{00000000-0005-0000-0000-000077000000}"/>
    <cellStyle name="Accent3 2" xfId="122" xr:uid="{00000000-0005-0000-0000-000078000000}"/>
    <cellStyle name="Accent4 - 20%" xfId="123" xr:uid="{00000000-0005-0000-0000-000079000000}"/>
    <cellStyle name="Accent4 - 40%" xfId="124" xr:uid="{00000000-0005-0000-0000-00007A000000}"/>
    <cellStyle name="Accent4 - 60%" xfId="125" xr:uid="{00000000-0005-0000-0000-00007B000000}"/>
    <cellStyle name="Accent4 2" xfId="126" xr:uid="{00000000-0005-0000-0000-00007C000000}"/>
    <cellStyle name="Accent5 - 20%" xfId="127" xr:uid="{00000000-0005-0000-0000-00007D000000}"/>
    <cellStyle name="Accent5 - 40%" xfId="128" xr:uid="{00000000-0005-0000-0000-00007E000000}"/>
    <cellStyle name="Accent5 - 60%" xfId="129" xr:uid="{00000000-0005-0000-0000-00007F000000}"/>
    <cellStyle name="Accent5 2" xfId="130" xr:uid="{00000000-0005-0000-0000-000080000000}"/>
    <cellStyle name="Accent6 - 20%" xfId="131" xr:uid="{00000000-0005-0000-0000-000081000000}"/>
    <cellStyle name="Accent6 - 40%" xfId="132" xr:uid="{00000000-0005-0000-0000-000082000000}"/>
    <cellStyle name="Accent6 - 60%" xfId="133" xr:uid="{00000000-0005-0000-0000-000083000000}"/>
    <cellStyle name="Accent6 2" xfId="134" xr:uid="{00000000-0005-0000-0000-000084000000}"/>
    <cellStyle name="assump" xfId="135" xr:uid="{00000000-0005-0000-0000-000085000000}"/>
    <cellStyle name="Bad 2" xfId="136" xr:uid="{00000000-0005-0000-0000-000086000000}"/>
    <cellStyle name="Base" xfId="137" xr:uid="{00000000-0005-0000-0000-000087000000}"/>
    <cellStyle name="Buena" xfId="138" xr:uid="{00000000-0005-0000-0000-000088000000}"/>
    <cellStyle name="Calcolo" xfId="139" xr:uid="{00000000-0005-0000-0000-000089000000}"/>
    <cellStyle name="Calculation 2" xfId="140" xr:uid="{00000000-0005-0000-0000-00008A000000}"/>
    <cellStyle name="Cálculo" xfId="141" xr:uid="{00000000-0005-0000-0000-00008B000000}"/>
    <cellStyle name="Celda de comprobación" xfId="142" xr:uid="{00000000-0005-0000-0000-00008C000000}"/>
    <cellStyle name="Celda vinculada" xfId="143" xr:uid="{00000000-0005-0000-0000-00008D000000}"/>
    <cellStyle name="Cella collegata" xfId="144" xr:uid="{00000000-0005-0000-0000-00008E000000}"/>
    <cellStyle name="Cella da controllare" xfId="145" xr:uid="{00000000-0005-0000-0000-00008F000000}"/>
    <cellStyle name="Check Cell 2" xfId="146" xr:uid="{00000000-0005-0000-0000-000090000000}"/>
    <cellStyle name="Col_head" xfId="147" xr:uid="{00000000-0005-0000-0000-000091000000}"/>
    <cellStyle name="Colore 1" xfId="148" xr:uid="{00000000-0005-0000-0000-000092000000}"/>
    <cellStyle name="Colore 2" xfId="149" xr:uid="{00000000-0005-0000-0000-000093000000}"/>
    <cellStyle name="Colore 3" xfId="150" xr:uid="{00000000-0005-0000-0000-000094000000}"/>
    <cellStyle name="Colore 4" xfId="151" xr:uid="{00000000-0005-0000-0000-000095000000}"/>
    <cellStyle name="Colore 5" xfId="152" xr:uid="{00000000-0005-0000-0000-000096000000}"/>
    <cellStyle name="Colore 6" xfId="153" xr:uid="{00000000-0005-0000-0000-000097000000}"/>
    <cellStyle name="Comma 2" xfId="155" xr:uid="{00000000-0005-0000-0000-000098000000}"/>
    <cellStyle name="Comma 3" xfId="156" xr:uid="{00000000-0005-0000-0000-000099000000}"/>
    <cellStyle name="Comma 4" xfId="157" xr:uid="{00000000-0005-0000-0000-00009A000000}"/>
    <cellStyle name="Comma 5" xfId="158" xr:uid="{00000000-0005-0000-0000-00009B000000}"/>
    <cellStyle name="Comma 5 2" xfId="159" xr:uid="{00000000-0005-0000-0000-00009C000000}"/>
    <cellStyle name="Comma 6" xfId="160" xr:uid="{00000000-0005-0000-0000-00009D000000}"/>
    <cellStyle name="Comma 6 2" xfId="161" xr:uid="{00000000-0005-0000-0000-00009E000000}"/>
    <cellStyle name="Comma 7" xfId="162" xr:uid="{00000000-0005-0000-0000-00009F000000}"/>
    <cellStyle name="Comma 8" xfId="163" xr:uid="{00000000-0005-0000-0000-0000A0000000}"/>
    <cellStyle name="Comma 9" xfId="154" xr:uid="{00000000-0005-0000-0000-0000A1000000}"/>
    <cellStyle name="CustomBigInteger" xfId="164" xr:uid="{00000000-0005-0000-0000-0000A2000000}"/>
    <cellStyle name="CustomBigIntegerEditable" xfId="165" xr:uid="{00000000-0005-0000-0000-0000A3000000}"/>
    <cellStyle name="CustomDate" xfId="166" xr:uid="{00000000-0005-0000-0000-0000A4000000}"/>
    <cellStyle name="CustomDateEditable" xfId="167" xr:uid="{00000000-0005-0000-0000-0000A5000000}"/>
    <cellStyle name="CustomDecimal" xfId="168" xr:uid="{00000000-0005-0000-0000-0000A6000000}"/>
    <cellStyle name="CustomDecimalEditable" xfId="169" xr:uid="{00000000-0005-0000-0000-0000A7000000}"/>
    <cellStyle name="CustomPercentage" xfId="170" xr:uid="{00000000-0005-0000-0000-0000A8000000}"/>
    <cellStyle name="CustomPercentageEditable" xfId="171" xr:uid="{00000000-0005-0000-0000-0000A9000000}"/>
    <cellStyle name="Data Input" xfId="172" xr:uid="{00000000-0005-0000-0000-0000AA000000}"/>
    <cellStyle name="DATA_COMP" xfId="173" xr:uid="{00000000-0005-0000-0000-0000AB000000}"/>
    <cellStyle name="Date" xfId="174" xr:uid="{00000000-0005-0000-0000-0000AC000000}"/>
    <cellStyle name="Dezimal +" xfId="175" xr:uid="{00000000-0005-0000-0000-0000AD000000}"/>
    <cellStyle name="Dezimal + 0" xfId="176" xr:uid="{00000000-0005-0000-0000-0000AE000000}"/>
    <cellStyle name="Dezimal 0" xfId="177" xr:uid="{00000000-0005-0000-0000-0000AF000000}"/>
    <cellStyle name="DOWNFOOT" xfId="178" xr:uid="{00000000-0005-0000-0000-0000B0000000}"/>
    <cellStyle name="Emphasis 1" xfId="179" xr:uid="{00000000-0005-0000-0000-0000B1000000}"/>
    <cellStyle name="Emphasis 2" xfId="180" xr:uid="{00000000-0005-0000-0000-0000B2000000}"/>
    <cellStyle name="Emphasis 3" xfId="181" xr:uid="{00000000-0005-0000-0000-0000B3000000}"/>
    <cellStyle name="Encabezado 4" xfId="182" xr:uid="{00000000-0005-0000-0000-0000B4000000}"/>
    <cellStyle name="Énfasis1" xfId="183" xr:uid="{00000000-0005-0000-0000-0000B5000000}"/>
    <cellStyle name="Énfasis2" xfId="184" xr:uid="{00000000-0005-0000-0000-0000B6000000}"/>
    <cellStyle name="Énfasis3" xfId="185" xr:uid="{00000000-0005-0000-0000-0000B7000000}"/>
    <cellStyle name="Énfasis4" xfId="186" xr:uid="{00000000-0005-0000-0000-0000B8000000}"/>
    <cellStyle name="Énfasis5" xfId="187" xr:uid="{00000000-0005-0000-0000-0000B9000000}"/>
    <cellStyle name="Énfasis6" xfId="188" xr:uid="{00000000-0005-0000-0000-0000BA000000}"/>
    <cellStyle name="Entrada" xfId="189" xr:uid="{00000000-0005-0000-0000-0000BB000000}"/>
    <cellStyle name="Euro" xfId="190" xr:uid="{00000000-0005-0000-0000-0000BC000000}"/>
    <cellStyle name="Explanatory Text 2" xfId="191" xr:uid="{00000000-0005-0000-0000-0000BD000000}"/>
    <cellStyle name="Fixed" xfId="192" xr:uid="{00000000-0005-0000-0000-0000BE000000}"/>
    <cellStyle name="Fixed (0)" xfId="193" xr:uid="{00000000-0005-0000-0000-0000BF000000}"/>
    <cellStyle name="Foot" xfId="194" xr:uid="{00000000-0005-0000-0000-0000C0000000}"/>
    <cellStyle name="Format Datenfeld" xfId="195" xr:uid="{00000000-0005-0000-0000-0000C1000000}"/>
    <cellStyle name="Format Zeile/Spalte" xfId="196" xr:uid="{00000000-0005-0000-0000-0000C2000000}"/>
    <cellStyle name="Good 2" xfId="197" xr:uid="{00000000-0005-0000-0000-0000C3000000}"/>
    <cellStyle name="Head" xfId="198" xr:uid="{00000000-0005-0000-0000-0000C4000000}"/>
    <cellStyle name="Header1" xfId="199" xr:uid="{00000000-0005-0000-0000-0000C5000000}"/>
    <cellStyle name="Header2" xfId="200" xr:uid="{00000000-0005-0000-0000-0000C6000000}"/>
    <cellStyle name="Header3" xfId="201" xr:uid="{00000000-0005-0000-0000-0000C7000000}"/>
    <cellStyle name="Header4" xfId="202" xr:uid="{00000000-0005-0000-0000-0000C8000000}"/>
    <cellStyle name="Header5" xfId="203" xr:uid="{00000000-0005-0000-0000-0000C9000000}"/>
    <cellStyle name="Header6" xfId="204" xr:uid="{00000000-0005-0000-0000-0000CA000000}"/>
    <cellStyle name="Heading 1 2" xfId="205" xr:uid="{00000000-0005-0000-0000-0000CB000000}"/>
    <cellStyle name="Heading 2 2" xfId="206" xr:uid="{00000000-0005-0000-0000-0000CC000000}"/>
    <cellStyle name="Heading 3 2" xfId="207" xr:uid="{00000000-0005-0000-0000-0000CD000000}"/>
    <cellStyle name="Heading 4 2" xfId="208" xr:uid="{00000000-0005-0000-0000-0000CE000000}"/>
    <cellStyle name="Heading1" xfId="209" xr:uid="{00000000-0005-0000-0000-0000CF000000}"/>
    <cellStyle name="Heading2" xfId="210" xr:uid="{00000000-0005-0000-0000-0000D0000000}"/>
    <cellStyle name="HiddenLocked" xfId="211" xr:uid="{00000000-0005-0000-0000-0000D1000000}"/>
    <cellStyle name="Incorrecto" xfId="212" xr:uid="{00000000-0005-0000-0000-0000D2000000}"/>
    <cellStyle name="Input 2" xfId="213" xr:uid="{00000000-0005-0000-0000-0000D3000000}"/>
    <cellStyle name="Linked Cell 2" xfId="214" xr:uid="{00000000-0005-0000-0000-0000D4000000}"/>
    <cellStyle name="Long Date" xfId="215" xr:uid="{00000000-0005-0000-0000-0000D5000000}"/>
    <cellStyle name="Mida" xfId="216" xr:uid="{00000000-0005-0000-0000-0000D6000000}"/>
    <cellStyle name="Migliaia_TFR Solvay - Aggregate data - 1 Jan to 31 Dec 2007" xfId="217" xr:uid="{00000000-0005-0000-0000-0000D7000000}"/>
    <cellStyle name="Milliers_Synthèse IAS 19" xfId="218" xr:uid="{00000000-0005-0000-0000-0000D8000000}"/>
    <cellStyle name="Monétaire [0]_taxesschedule" xfId="219" xr:uid="{00000000-0005-0000-0000-0000D9000000}"/>
    <cellStyle name="Monétaire_taxesschedule" xfId="220" xr:uid="{00000000-0005-0000-0000-0000DA000000}"/>
    <cellStyle name="Name" xfId="221" xr:uid="{00000000-0005-0000-0000-0000DB000000}"/>
    <cellStyle name="Neutral 2" xfId="222" xr:uid="{00000000-0005-0000-0000-0000DC000000}"/>
    <cellStyle name="Neutrale" xfId="223" xr:uid="{00000000-0005-0000-0000-0000DD000000}"/>
    <cellStyle name="Normal" xfId="0" builtinId="0"/>
    <cellStyle name="Normal 10" xfId="224" xr:uid="{00000000-0005-0000-0000-0000DF000000}"/>
    <cellStyle name="Normal 11" xfId="225" xr:uid="{00000000-0005-0000-0000-0000E0000000}"/>
    <cellStyle name="Normal 12" xfId="226" xr:uid="{00000000-0005-0000-0000-0000E1000000}"/>
    <cellStyle name="Normal 13" xfId="227" xr:uid="{00000000-0005-0000-0000-0000E2000000}"/>
    <cellStyle name="Normal 14" xfId="228" xr:uid="{00000000-0005-0000-0000-0000E3000000}"/>
    <cellStyle name="Normal 15" xfId="229" xr:uid="{00000000-0005-0000-0000-0000E4000000}"/>
    <cellStyle name="Normal 15 2" xfId="230" xr:uid="{00000000-0005-0000-0000-0000E5000000}"/>
    <cellStyle name="Normal 16" xfId="1" xr:uid="{00000000-0005-0000-0000-0000E6000000}"/>
    <cellStyle name="Normal 17" xfId="231" xr:uid="{00000000-0005-0000-0000-0000E7000000}"/>
    <cellStyle name="Normal 18" xfId="232" xr:uid="{00000000-0005-0000-0000-0000E8000000}"/>
    <cellStyle name="Normal 19" xfId="233" xr:uid="{00000000-0005-0000-0000-0000E9000000}"/>
    <cellStyle name="Normal 2" xfId="234" xr:uid="{00000000-0005-0000-0000-0000EA000000}"/>
    <cellStyle name="Normal 2 2" xfId="235" xr:uid="{00000000-0005-0000-0000-0000EB000000}"/>
    <cellStyle name="Normal 2 3" xfId="236" xr:uid="{00000000-0005-0000-0000-0000EC000000}"/>
    <cellStyle name="Normal 2_נתונים כלליים" xfId="237" xr:uid="{00000000-0005-0000-0000-0000ED000000}"/>
    <cellStyle name="Normal 20" xfId="238" xr:uid="{00000000-0005-0000-0000-0000EE000000}"/>
    <cellStyle name="Normal 24" xfId="239" xr:uid="{00000000-0005-0000-0000-0000EF000000}"/>
    <cellStyle name="Normal 28" xfId="240" xr:uid="{00000000-0005-0000-0000-0000F0000000}"/>
    <cellStyle name="Normal 3" xfId="241" xr:uid="{00000000-0005-0000-0000-0000F1000000}"/>
    <cellStyle name="Normal 4" xfId="242" xr:uid="{00000000-0005-0000-0000-0000F2000000}"/>
    <cellStyle name="Normal 5" xfId="243" xr:uid="{00000000-0005-0000-0000-0000F3000000}"/>
    <cellStyle name="Normal 6" xfId="244" xr:uid="{00000000-0005-0000-0000-0000F4000000}"/>
    <cellStyle name="Normal 6 2" xfId="245" xr:uid="{00000000-0005-0000-0000-0000F5000000}"/>
    <cellStyle name="Normal 7" xfId="246" xr:uid="{00000000-0005-0000-0000-0000F6000000}"/>
    <cellStyle name="Normal 8" xfId="247" xr:uid="{00000000-0005-0000-0000-0000F7000000}"/>
    <cellStyle name="Normal 9" xfId="248" xr:uid="{00000000-0005-0000-0000-0000F8000000}"/>
    <cellStyle name="Normale_Foglio1" xfId="249" xr:uid="{00000000-0005-0000-0000-0000F9000000}"/>
    <cellStyle name="Nota" xfId="250" xr:uid="{00000000-0005-0000-0000-0000FA000000}"/>
    <cellStyle name="Notas" xfId="251" xr:uid="{00000000-0005-0000-0000-0000FB000000}"/>
    <cellStyle name="Note 2" xfId="252" xr:uid="{00000000-0005-0000-0000-0000FC000000}"/>
    <cellStyle name="Note 3" xfId="253" xr:uid="{00000000-0005-0000-0000-0000FD000000}"/>
    <cellStyle name="Number10" xfId="254" xr:uid="{00000000-0005-0000-0000-0000FE000000}"/>
    <cellStyle name="Number10Editable" xfId="255" xr:uid="{00000000-0005-0000-0000-0000FF000000}"/>
    <cellStyle name="Number3" xfId="256" xr:uid="{00000000-0005-0000-0000-000000010000}"/>
    <cellStyle name="Number3Editable" xfId="257" xr:uid="{00000000-0005-0000-0000-000001010000}"/>
    <cellStyle name="Number4" xfId="258" xr:uid="{00000000-0005-0000-0000-000002010000}"/>
    <cellStyle name="Number4Editable" xfId="259" xr:uid="{00000000-0005-0000-0000-000003010000}"/>
    <cellStyle name="Output 2" xfId="260" xr:uid="{00000000-0005-0000-0000-000004010000}"/>
    <cellStyle name="Percent" xfId="378" builtinId="5"/>
    <cellStyle name="Percent 2" xfId="262" xr:uid="{00000000-0005-0000-0000-000006010000}"/>
    <cellStyle name="Percent 2 2 2" xfId="263" xr:uid="{00000000-0005-0000-0000-000007010000}"/>
    <cellStyle name="Percent 3" xfId="264" xr:uid="{00000000-0005-0000-0000-000008010000}"/>
    <cellStyle name="Percent 3 2" xfId="265" xr:uid="{00000000-0005-0000-0000-000009010000}"/>
    <cellStyle name="Percent 4" xfId="266" xr:uid="{00000000-0005-0000-0000-00000A010000}"/>
    <cellStyle name="Percent 5" xfId="267" xr:uid="{00000000-0005-0000-0000-00000B010000}"/>
    <cellStyle name="Percent 5 2" xfId="268" xr:uid="{00000000-0005-0000-0000-00000C010000}"/>
    <cellStyle name="Percent 6" xfId="269" xr:uid="{00000000-0005-0000-0000-00000D010000}"/>
    <cellStyle name="Percent 6 2" xfId="270" xr:uid="{00000000-0005-0000-0000-00000E010000}"/>
    <cellStyle name="Percent 7" xfId="271" xr:uid="{00000000-0005-0000-0000-00000F010000}"/>
    <cellStyle name="Percent 7 2" xfId="272" xr:uid="{00000000-0005-0000-0000-000010010000}"/>
    <cellStyle name="Percent 8" xfId="273" xr:uid="{00000000-0005-0000-0000-000011010000}"/>
    <cellStyle name="Percent 9" xfId="261" xr:uid="{00000000-0005-0000-0000-000012010000}"/>
    <cellStyle name="Prozent 2" xfId="274" xr:uid="{00000000-0005-0000-0000-000013010000}"/>
    <cellStyle name="Salida" xfId="275" xr:uid="{00000000-0005-0000-0000-000014010000}"/>
    <cellStyle name="SAPBEXaggData" xfId="276" xr:uid="{00000000-0005-0000-0000-000015010000}"/>
    <cellStyle name="SAPBEXaggDataEmph" xfId="277" xr:uid="{00000000-0005-0000-0000-000016010000}"/>
    <cellStyle name="SAPBEXaggItem" xfId="278" xr:uid="{00000000-0005-0000-0000-000017010000}"/>
    <cellStyle name="SAPBEXaggItemX" xfId="279" xr:uid="{00000000-0005-0000-0000-000018010000}"/>
    <cellStyle name="SAPBEXchaText" xfId="280" xr:uid="{00000000-0005-0000-0000-000019010000}"/>
    <cellStyle name="SAPBEXexcBad7" xfId="281" xr:uid="{00000000-0005-0000-0000-00001A010000}"/>
    <cellStyle name="SAPBEXexcBad8" xfId="282" xr:uid="{00000000-0005-0000-0000-00001B010000}"/>
    <cellStyle name="SAPBEXexcBad9" xfId="283" xr:uid="{00000000-0005-0000-0000-00001C010000}"/>
    <cellStyle name="SAPBEXexcCritical4" xfId="284" xr:uid="{00000000-0005-0000-0000-00001D010000}"/>
    <cellStyle name="SAPBEXexcCritical5" xfId="285" xr:uid="{00000000-0005-0000-0000-00001E010000}"/>
    <cellStyle name="SAPBEXexcCritical6" xfId="286" xr:uid="{00000000-0005-0000-0000-00001F010000}"/>
    <cellStyle name="SAPBEXexcGood1" xfId="287" xr:uid="{00000000-0005-0000-0000-000020010000}"/>
    <cellStyle name="SAPBEXexcGood2" xfId="288" xr:uid="{00000000-0005-0000-0000-000021010000}"/>
    <cellStyle name="SAPBEXexcGood3" xfId="289" xr:uid="{00000000-0005-0000-0000-000022010000}"/>
    <cellStyle name="SAPBEXfilterDrill" xfId="290" xr:uid="{00000000-0005-0000-0000-000023010000}"/>
    <cellStyle name="SAPBEXfilterItem" xfId="291" xr:uid="{00000000-0005-0000-0000-000024010000}"/>
    <cellStyle name="SAPBEXfilterText" xfId="292" xr:uid="{00000000-0005-0000-0000-000025010000}"/>
    <cellStyle name="SAPBEXformats" xfId="293" xr:uid="{00000000-0005-0000-0000-000026010000}"/>
    <cellStyle name="SAPBEXheaderItem" xfId="294" xr:uid="{00000000-0005-0000-0000-000027010000}"/>
    <cellStyle name="SAPBEXheaderText" xfId="295" xr:uid="{00000000-0005-0000-0000-000028010000}"/>
    <cellStyle name="SAPBEXHLevel0" xfId="296" xr:uid="{00000000-0005-0000-0000-000029010000}"/>
    <cellStyle name="SAPBEXHLevel0X" xfId="297" xr:uid="{00000000-0005-0000-0000-00002A010000}"/>
    <cellStyle name="SAPBEXHLevel1" xfId="298" xr:uid="{00000000-0005-0000-0000-00002B010000}"/>
    <cellStyle name="SAPBEXHLevel1X" xfId="299" xr:uid="{00000000-0005-0000-0000-00002C010000}"/>
    <cellStyle name="SAPBEXHLevel2" xfId="300" xr:uid="{00000000-0005-0000-0000-00002D010000}"/>
    <cellStyle name="SAPBEXHLevel2X" xfId="301" xr:uid="{00000000-0005-0000-0000-00002E010000}"/>
    <cellStyle name="SAPBEXHLevel3" xfId="302" xr:uid="{00000000-0005-0000-0000-00002F010000}"/>
    <cellStyle name="SAPBEXHLevel3X" xfId="303" xr:uid="{00000000-0005-0000-0000-000030010000}"/>
    <cellStyle name="SAPBEXinputData" xfId="304" xr:uid="{00000000-0005-0000-0000-000031010000}"/>
    <cellStyle name="SAPBEXresData" xfId="305" xr:uid="{00000000-0005-0000-0000-000032010000}"/>
    <cellStyle name="SAPBEXresDataEmph" xfId="306" xr:uid="{00000000-0005-0000-0000-000033010000}"/>
    <cellStyle name="SAPBEXresItem" xfId="307" xr:uid="{00000000-0005-0000-0000-000034010000}"/>
    <cellStyle name="SAPBEXresItemX" xfId="308" xr:uid="{00000000-0005-0000-0000-000035010000}"/>
    <cellStyle name="SAPBEXstdData" xfId="309" xr:uid="{00000000-0005-0000-0000-000036010000}"/>
    <cellStyle name="SAPBEXstdDataEmph" xfId="310" xr:uid="{00000000-0005-0000-0000-000037010000}"/>
    <cellStyle name="SAPBEXstdItem" xfId="311" xr:uid="{00000000-0005-0000-0000-000038010000}"/>
    <cellStyle name="SAPBEXstdItemX" xfId="312" xr:uid="{00000000-0005-0000-0000-000039010000}"/>
    <cellStyle name="SAPBEXtitle" xfId="313" xr:uid="{00000000-0005-0000-0000-00003A010000}"/>
    <cellStyle name="SAPBEXundefined" xfId="314" xr:uid="{00000000-0005-0000-0000-00003B010000}"/>
    <cellStyle name="Sheet Title" xfId="315" xr:uid="{00000000-0005-0000-0000-00003C010000}"/>
    <cellStyle name="Short Date" xfId="316" xr:uid="{00000000-0005-0000-0000-00003D010000}"/>
    <cellStyle name="Standard 2" xfId="317" xr:uid="{00000000-0005-0000-0000-00003E010000}"/>
    <cellStyle name="Standard_ALLE" xfId="318" xr:uid="{00000000-0005-0000-0000-00003F010000}"/>
    <cellStyle name="Stil 1" xfId="319" xr:uid="{00000000-0005-0000-0000-000040010000}"/>
    <cellStyle name="StringWrapLeft" xfId="320" xr:uid="{00000000-0005-0000-0000-000041010000}"/>
    <cellStyle name="StringWrapLeftEditable" xfId="321" xr:uid="{00000000-0005-0000-0000-000042010000}"/>
    <cellStyle name="StringWrapRight" xfId="322" xr:uid="{00000000-0005-0000-0000-000043010000}"/>
    <cellStyle name="StringWrapRightEditable" xfId="323" xr:uid="{00000000-0005-0000-0000-000044010000}"/>
    <cellStyle name="Style 1" xfId="324" xr:uid="{00000000-0005-0000-0000-000045010000}"/>
    <cellStyle name="Sub_head" xfId="325" xr:uid="{00000000-0005-0000-0000-000046010000}"/>
    <cellStyle name="Testo avviso" xfId="326" xr:uid="{00000000-0005-0000-0000-000047010000}"/>
    <cellStyle name="Testo descrittivo" xfId="327" xr:uid="{00000000-0005-0000-0000-000048010000}"/>
    <cellStyle name="Text" xfId="328" xr:uid="{00000000-0005-0000-0000-000049010000}"/>
    <cellStyle name="Texto de advertencia" xfId="329" xr:uid="{00000000-0005-0000-0000-00004A010000}"/>
    <cellStyle name="Texto explicativo" xfId="330" xr:uid="{00000000-0005-0000-0000-00004B010000}"/>
    <cellStyle name="Title 2" xfId="331" xr:uid="{00000000-0005-0000-0000-00004C010000}"/>
    <cellStyle name="Titolo" xfId="332" xr:uid="{00000000-0005-0000-0000-00004D010000}"/>
    <cellStyle name="Titolo 1" xfId="333" xr:uid="{00000000-0005-0000-0000-00004E010000}"/>
    <cellStyle name="Titolo 2" xfId="334" xr:uid="{00000000-0005-0000-0000-00004F010000}"/>
    <cellStyle name="Titolo 3" xfId="335" xr:uid="{00000000-0005-0000-0000-000050010000}"/>
    <cellStyle name="Titolo 4" xfId="336" xr:uid="{00000000-0005-0000-0000-000051010000}"/>
    <cellStyle name="Titolo_2009 JP1-D_TP_20091211" xfId="337" xr:uid="{00000000-0005-0000-0000-000052010000}"/>
    <cellStyle name="Título" xfId="338" xr:uid="{00000000-0005-0000-0000-000053010000}"/>
    <cellStyle name="Título 1" xfId="339" xr:uid="{00000000-0005-0000-0000-000054010000}"/>
    <cellStyle name="Título 2" xfId="340" xr:uid="{00000000-0005-0000-0000-000055010000}"/>
    <cellStyle name="Título 3" xfId="341" xr:uid="{00000000-0005-0000-0000-000056010000}"/>
    <cellStyle name="Título_2009 JP1-D_TP_20091211" xfId="342" xr:uid="{00000000-0005-0000-0000-000057010000}"/>
    <cellStyle name="Total 2" xfId="343" xr:uid="{00000000-0005-0000-0000-000058010000}"/>
    <cellStyle name="Total 3" xfId="344" xr:uid="{00000000-0005-0000-0000-000059010000}"/>
    <cellStyle name="Totale" xfId="345" xr:uid="{00000000-0005-0000-0000-00005A010000}"/>
    <cellStyle name="Valore non valido" xfId="346" xr:uid="{00000000-0005-0000-0000-00005B010000}"/>
    <cellStyle name="Valore valido" xfId="347" xr:uid="{00000000-0005-0000-0000-00005C010000}"/>
    <cellStyle name="Valuta (0)_MIP2002PlasticBeverage_fm_ZATTI" xfId="348" xr:uid="{00000000-0005-0000-0000-00005D010000}"/>
    <cellStyle name="Währung +" xfId="349" xr:uid="{00000000-0005-0000-0000-00005E010000}"/>
    <cellStyle name="Währung + 0" xfId="350" xr:uid="{00000000-0005-0000-0000-00005F010000}"/>
    <cellStyle name="Währung 0" xfId="351" xr:uid="{00000000-0005-0000-0000-000060010000}"/>
    <cellStyle name="Warning Text 2" xfId="352" xr:uid="{00000000-0005-0000-0000-000061010000}"/>
    <cellStyle name="הדגשה1 2" xfId="353" xr:uid="{00000000-0005-0000-0000-000062010000}"/>
    <cellStyle name="הדגשה2 2" xfId="354" xr:uid="{00000000-0005-0000-0000-000063010000}"/>
    <cellStyle name="הדגשה3 2" xfId="355" xr:uid="{00000000-0005-0000-0000-000064010000}"/>
    <cellStyle name="הדגשה4 2" xfId="356" xr:uid="{00000000-0005-0000-0000-000065010000}"/>
    <cellStyle name="הדגשה5 2" xfId="357" xr:uid="{00000000-0005-0000-0000-000066010000}"/>
    <cellStyle name="הדגשה6 2" xfId="358" xr:uid="{00000000-0005-0000-0000-000067010000}"/>
    <cellStyle name="הערה 2" xfId="359" xr:uid="{00000000-0005-0000-0000-000068010000}"/>
    <cellStyle name="חישוב 2" xfId="360" xr:uid="{00000000-0005-0000-0000-000069010000}"/>
    <cellStyle name="טוב 2" xfId="361" xr:uid="{00000000-0005-0000-0000-00006A010000}"/>
    <cellStyle name="טקסט אזהרה 2" xfId="362" xr:uid="{00000000-0005-0000-0000-00006B010000}"/>
    <cellStyle name="טקסט הסברי 2" xfId="363" xr:uid="{00000000-0005-0000-0000-00006C010000}"/>
    <cellStyle name="כותרת 1 2" xfId="364" xr:uid="{00000000-0005-0000-0000-00006D010000}"/>
    <cellStyle name="כותרת 2 2" xfId="365" xr:uid="{00000000-0005-0000-0000-00006E010000}"/>
    <cellStyle name="כותרת 3 2" xfId="366" xr:uid="{00000000-0005-0000-0000-00006F010000}"/>
    <cellStyle name="כותרת 4 2" xfId="367" xr:uid="{00000000-0005-0000-0000-000070010000}"/>
    <cellStyle name="כותרת 5" xfId="368" xr:uid="{00000000-0005-0000-0000-000071010000}"/>
    <cellStyle name="ניטראלי 2" xfId="369" xr:uid="{00000000-0005-0000-0000-000072010000}"/>
    <cellStyle name="סגנון 1" xfId="370" xr:uid="{00000000-0005-0000-0000-000073010000}"/>
    <cellStyle name="סה&quot;כ 2" xfId="371" xr:uid="{00000000-0005-0000-0000-000074010000}"/>
    <cellStyle name="פלט 2" xfId="372" xr:uid="{00000000-0005-0000-0000-000075010000}"/>
    <cellStyle name="קלט 2" xfId="373" xr:uid="{00000000-0005-0000-0000-000076010000}"/>
    <cellStyle name="רע 2" xfId="374" xr:uid="{00000000-0005-0000-0000-000077010000}"/>
    <cellStyle name="תא מסומן 2" xfId="375" xr:uid="{00000000-0005-0000-0000-000078010000}"/>
    <cellStyle name="תא מקושר 2" xfId="376" xr:uid="{00000000-0005-0000-0000-000079010000}"/>
    <cellStyle name="一般_Request for Asset and Cash Flows-CTC-2008" xfId="377" xr:uid="{00000000-0005-0000-0000-00007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"/>
  <sheetViews>
    <sheetView tabSelected="1" workbookViewId="0">
      <selection activeCell="E69" sqref="E69"/>
    </sheetView>
  </sheetViews>
  <sheetFormatPr defaultRowHeight="15"/>
  <cols>
    <col min="1" max="1" width="10" bestFit="1" customWidth="1"/>
    <col min="4" max="4" width="7.28515625" customWidth="1"/>
    <col min="5" max="5" width="10.42578125" bestFit="1" customWidth="1"/>
    <col min="6" max="6" width="10.7109375" customWidth="1"/>
    <col min="7" max="8" width="10.7109375" bestFit="1" customWidth="1"/>
    <col min="9" max="9" width="10.7109375" customWidth="1"/>
    <col min="10" max="10" width="9.5703125" bestFit="1" customWidth="1"/>
    <col min="12" max="13" width="10.7109375" bestFit="1" customWidth="1"/>
    <col min="16" max="16" width="10.7109375" bestFit="1" customWidth="1"/>
    <col min="17" max="17" width="11.5703125" bestFit="1" customWidth="1"/>
    <col min="18" max="18" width="10.7109375" bestFit="1" customWidth="1"/>
  </cols>
  <sheetData>
    <row r="1" spans="1:18">
      <c r="M1" s="11">
        <f>SUM(M3:M152)</f>
        <v>2800500</v>
      </c>
      <c r="N1" s="11">
        <f>SUM(N3:N152)</f>
        <v>155000</v>
      </c>
    </row>
    <row r="2" spans="1:18" ht="45">
      <c r="B2" t="s">
        <v>52</v>
      </c>
      <c r="C2" s="1" t="s">
        <v>53</v>
      </c>
      <c r="D2" t="s">
        <v>51</v>
      </c>
      <c r="E2" s="1" t="s">
        <v>54</v>
      </c>
      <c r="F2" s="1" t="s">
        <v>55</v>
      </c>
      <c r="G2" s="1" t="s">
        <v>142</v>
      </c>
      <c r="H2" s="1" t="s">
        <v>143</v>
      </c>
      <c r="I2" s="1" t="s">
        <v>260</v>
      </c>
      <c r="J2" s="1" t="s">
        <v>144</v>
      </c>
      <c r="K2" s="1" t="s">
        <v>145</v>
      </c>
      <c r="L2" s="1" t="s">
        <v>261</v>
      </c>
      <c r="M2" s="1" t="s">
        <v>262</v>
      </c>
      <c r="N2" s="1" t="s">
        <v>263</v>
      </c>
      <c r="O2" s="1" t="s">
        <v>264</v>
      </c>
    </row>
    <row r="3" spans="1:18" ht="15" customHeight="1">
      <c r="A3" s="10">
        <v>1</v>
      </c>
      <c r="B3" s="9" t="s">
        <v>12</v>
      </c>
      <c r="C3" s="9" t="s">
        <v>146</v>
      </c>
      <c r="D3" s="8" t="s">
        <v>1</v>
      </c>
      <c r="E3" s="13">
        <v>30019</v>
      </c>
      <c r="F3" s="7">
        <v>41435</v>
      </c>
      <c r="G3" s="11">
        <v>6384.375</v>
      </c>
      <c r="H3" s="7">
        <f>F3</f>
        <v>41435</v>
      </c>
      <c r="I3">
        <v>100</v>
      </c>
      <c r="J3" s="11">
        <v>0</v>
      </c>
      <c r="K3" s="11">
        <v>0</v>
      </c>
      <c r="L3" s="7"/>
      <c r="M3" s="11">
        <v>0</v>
      </c>
      <c r="Q3" s="21"/>
      <c r="R3" s="7"/>
    </row>
    <row r="4" spans="1:18" ht="15" customHeight="1">
      <c r="A4" s="10">
        <f>A3+1</f>
        <v>2</v>
      </c>
      <c r="B4" s="9" t="s">
        <v>23</v>
      </c>
      <c r="C4" s="9" t="s">
        <v>147</v>
      </c>
      <c r="D4" s="8" t="s">
        <v>4</v>
      </c>
      <c r="E4" s="13">
        <v>30005</v>
      </c>
      <c r="F4" s="7">
        <v>41649</v>
      </c>
      <c r="G4" s="11">
        <v>17540.625</v>
      </c>
      <c r="H4" s="7">
        <f>F4</f>
        <v>41649</v>
      </c>
      <c r="I4">
        <v>72</v>
      </c>
      <c r="J4" s="11">
        <v>0</v>
      </c>
      <c r="K4" s="11">
        <v>0</v>
      </c>
      <c r="L4" s="7"/>
      <c r="M4" s="11">
        <v>0</v>
      </c>
      <c r="Q4" s="21"/>
      <c r="R4" s="7"/>
    </row>
    <row r="5" spans="1:18">
      <c r="A5" s="10">
        <f t="shared" ref="A5:A68" si="0">A4+1</f>
        <v>3</v>
      </c>
      <c r="B5" s="9" t="s">
        <v>80</v>
      </c>
      <c r="C5" s="9" t="s">
        <v>123</v>
      </c>
      <c r="D5" s="8" t="s">
        <v>1</v>
      </c>
      <c r="E5" s="13">
        <v>22844</v>
      </c>
      <c r="F5" s="7">
        <v>33126</v>
      </c>
      <c r="G5" s="11">
        <v>19134.375</v>
      </c>
      <c r="H5" s="7"/>
      <c r="I5" s="7"/>
      <c r="J5" s="11">
        <v>557914.5</v>
      </c>
      <c r="K5" s="11">
        <f>G5</f>
        <v>19134.375</v>
      </c>
      <c r="L5" s="7">
        <v>45809</v>
      </c>
      <c r="M5" s="11">
        <v>550000</v>
      </c>
      <c r="O5" t="s">
        <v>265</v>
      </c>
      <c r="P5" s="7"/>
      <c r="Q5" s="21"/>
      <c r="R5" s="7"/>
    </row>
    <row r="6" spans="1:18" ht="15" customHeight="1">
      <c r="A6" s="10">
        <f t="shared" si="0"/>
        <v>4</v>
      </c>
      <c r="B6" s="9" t="s">
        <v>148</v>
      </c>
      <c r="C6" s="9" t="s">
        <v>15</v>
      </c>
      <c r="D6" s="8" t="s">
        <v>4</v>
      </c>
      <c r="E6" s="13">
        <v>27066</v>
      </c>
      <c r="F6" s="7">
        <v>37263</v>
      </c>
      <c r="G6" s="11">
        <v>8775</v>
      </c>
      <c r="H6" s="7"/>
      <c r="I6" s="7"/>
      <c r="J6" s="11">
        <v>142014.6</v>
      </c>
      <c r="K6" s="11">
        <f>G6</f>
        <v>8775</v>
      </c>
      <c r="L6" s="7"/>
      <c r="M6" s="11">
        <v>0</v>
      </c>
      <c r="Q6" s="21"/>
      <c r="R6" s="7"/>
    </row>
    <row r="7" spans="1:18">
      <c r="A7" s="10">
        <f t="shared" si="0"/>
        <v>5</v>
      </c>
      <c r="B7" s="9" t="s">
        <v>5</v>
      </c>
      <c r="C7" s="9" t="s">
        <v>149</v>
      </c>
      <c r="D7" s="8" t="s">
        <v>1</v>
      </c>
      <c r="E7" s="13">
        <v>27088</v>
      </c>
      <c r="F7" s="7">
        <v>36586</v>
      </c>
      <c r="G7" s="11">
        <v>9970.3125</v>
      </c>
      <c r="H7" s="7">
        <f>F7</f>
        <v>36586</v>
      </c>
      <c r="I7">
        <v>100</v>
      </c>
      <c r="J7" s="11">
        <v>0</v>
      </c>
      <c r="K7" s="11">
        <v>0</v>
      </c>
      <c r="L7" s="7">
        <v>45853</v>
      </c>
      <c r="M7" s="11"/>
      <c r="O7" t="s">
        <v>265</v>
      </c>
      <c r="P7" s="7"/>
      <c r="Q7" s="21"/>
      <c r="R7" s="7"/>
    </row>
    <row r="8" spans="1:18">
      <c r="A8" s="10">
        <f t="shared" si="0"/>
        <v>6</v>
      </c>
      <c r="B8" s="9" t="s">
        <v>27</v>
      </c>
      <c r="C8" s="9" t="s">
        <v>150</v>
      </c>
      <c r="D8" s="8" t="s">
        <v>1</v>
      </c>
      <c r="E8" s="13">
        <v>23793</v>
      </c>
      <c r="F8" s="7">
        <v>33841</v>
      </c>
      <c r="G8" s="11">
        <v>12759.375</v>
      </c>
      <c r="H8" s="7"/>
      <c r="I8" s="7"/>
      <c r="J8" s="11">
        <v>304317</v>
      </c>
      <c r="K8" s="11">
        <f>G8</f>
        <v>12759.375</v>
      </c>
      <c r="L8" s="7">
        <v>45876</v>
      </c>
      <c r="M8" s="11">
        <v>290000</v>
      </c>
      <c r="N8" s="11">
        <v>35000</v>
      </c>
      <c r="O8" t="s">
        <v>266</v>
      </c>
      <c r="P8" s="7"/>
      <c r="Q8" s="21"/>
      <c r="R8" s="7"/>
    </row>
    <row r="9" spans="1:18" ht="15" customHeight="1">
      <c r="A9" s="10">
        <f t="shared" si="0"/>
        <v>7</v>
      </c>
      <c r="B9" s="9" t="s">
        <v>151</v>
      </c>
      <c r="C9" s="9" t="s">
        <v>40</v>
      </c>
      <c r="D9" s="8" t="s">
        <v>4</v>
      </c>
      <c r="E9" s="13">
        <v>23743</v>
      </c>
      <c r="F9" s="7">
        <v>42188</v>
      </c>
      <c r="G9" s="11">
        <v>19666.355468749975</v>
      </c>
      <c r="H9" s="7">
        <f>F9</f>
        <v>42188</v>
      </c>
      <c r="I9">
        <v>100</v>
      </c>
      <c r="J9" s="11">
        <v>0</v>
      </c>
      <c r="K9" s="11">
        <v>0</v>
      </c>
      <c r="L9" s="7"/>
      <c r="M9" s="11">
        <v>0</v>
      </c>
      <c r="Q9" s="21"/>
      <c r="R9" s="7"/>
    </row>
    <row r="10" spans="1:18">
      <c r="A10" s="10">
        <f t="shared" si="0"/>
        <v>8</v>
      </c>
      <c r="B10" s="9" t="s">
        <v>140</v>
      </c>
      <c r="C10" s="9" t="s">
        <v>152</v>
      </c>
      <c r="D10" s="8" t="s">
        <v>4</v>
      </c>
      <c r="E10" s="13">
        <v>24120</v>
      </c>
      <c r="F10" s="7">
        <v>34366</v>
      </c>
      <c r="G10" s="11">
        <v>8486.53125</v>
      </c>
      <c r="H10" s="7"/>
      <c r="I10" s="7"/>
      <c r="J10" s="11">
        <v>263741.39999999997</v>
      </c>
      <c r="K10" s="11">
        <f>G10</f>
        <v>8486.53125</v>
      </c>
      <c r="L10" s="7">
        <v>45992</v>
      </c>
      <c r="M10" s="11">
        <v>260000</v>
      </c>
      <c r="N10" s="11">
        <v>30000</v>
      </c>
      <c r="O10" t="s">
        <v>266</v>
      </c>
      <c r="P10" s="7"/>
      <c r="Q10" s="21"/>
      <c r="R10" s="7"/>
    </row>
    <row r="11" spans="1:18" ht="15" customHeight="1">
      <c r="A11" s="10">
        <f t="shared" si="0"/>
        <v>9</v>
      </c>
      <c r="B11" s="9" t="s">
        <v>154</v>
      </c>
      <c r="C11" s="9" t="s">
        <v>153</v>
      </c>
      <c r="D11" s="8" t="s">
        <v>4</v>
      </c>
      <c r="E11" s="13">
        <v>25443</v>
      </c>
      <c r="F11" s="7">
        <v>37041</v>
      </c>
      <c r="G11" s="11">
        <v>9332.8125</v>
      </c>
      <c r="H11" s="7">
        <f t="shared" ref="H11:H12" si="1">F11</f>
        <v>37041</v>
      </c>
      <c r="I11">
        <v>100</v>
      </c>
      <c r="J11" s="11">
        <v>0</v>
      </c>
      <c r="K11" s="11">
        <v>0</v>
      </c>
      <c r="L11" s="7"/>
      <c r="M11" s="11">
        <v>0</v>
      </c>
      <c r="Q11" s="21"/>
      <c r="R11" s="7"/>
    </row>
    <row r="12" spans="1:18" ht="15" customHeight="1">
      <c r="A12" s="10">
        <f t="shared" si="0"/>
        <v>10</v>
      </c>
      <c r="B12" s="9" t="s">
        <v>69</v>
      </c>
      <c r="C12" s="9" t="s">
        <v>135</v>
      </c>
      <c r="D12" s="8" t="s">
        <v>1</v>
      </c>
      <c r="E12" s="13">
        <v>25610</v>
      </c>
      <c r="F12" s="7">
        <v>42603</v>
      </c>
      <c r="G12" s="11">
        <v>7579.6875</v>
      </c>
      <c r="H12" s="7">
        <f t="shared" si="1"/>
        <v>42603</v>
      </c>
      <c r="I12">
        <v>72</v>
      </c>
      <c r="J12" s="11">
        <v>0</v>
      </c>
      <c r="K12" s="11">
        <v>0</v>
      </c>
      <c r="L12" s="7"/>
      <c r="M12" s="11">
        <v>0</v>
      </c>
      <c r="Q12" s="21"/>
      <c r="R12" s="7"/>
    </row>
    <row r="13" spans="1:18" ht="15" customHeight="1">
      <c r="A13" s="10">
        <f t="shared" si="0"/>
        <v>11</v>
      </c>
      <c r="B13" s="9" t="s">
        <v>27</v>
      </c>
      <c r="C13" s="9" t="s">
        <v>155</v>
      </c>
      <c r="D13" s="8" t="s">
        <v>1</v>
      </c>
      <c r="E13" s="13">
        <v>25600</v>
      </c>
      <c r="F13" s="7">
        <v>37316</v>
      </c>
      <c r="G13" s="11">
        <v>19134.375</v>
      </c>
      <c r="H13" s="7"/>
      <c r="I13" s="7"/>
      <c r="J13" s="11">
        <v>385468.2</v>
      </c>
      <c r="K13" s="11">
        <f>G13</f>
        <v>19134.375</v>
      </c>
      <c r="L13" s="7"/>
      <c r="M13" s="11">
        <v>0</v>
      </c>
      <c r="Q13" s="21"/>
      <c r="R13" s="7"/>
    </row>
    <row r="14" spans="1:18" ht="15" customHeight="1">
      <c r="A14" s="10">
        <f t="shared" si="0"/>
        <v>12</v>
      </c>
      <c r="B14" s="9" t="s">
        <v>157</v>
      </c>
      <c r="C14" s="9" t="s">
        <v>156</v>
      </c>
      <c r="D14" s="8" t="s">
        <v>1</v>
      </c>
      <c r="E14" s="13">
        <v>25644</v>
      </c>
      <c r="F14" s="7">
        <v>42571</v>
      </c>
      <c r="G14" s="11">
        <v>5985.9375</v>
      </c>
      <c r="H14" s="7">
        <f>F14</f>
        <v>42571</v>
      </c>
      <c r="I14">
        <v>100</v>
      </c>
      <c r="J14" s="11">
        <v>0</v>
      </c>
      <c r="K14" s="11">
        <v>0</v>
      </c>
      <c r="L14" s="7"/>
      <c r="M14" s="11">
        <v>0</v>
      </c>
      <c r="Q14" s="21"/>
      <c r="R14" s="7"/>
    </row>
    <row r="15" spans="1:18" ht="15" customHeight="1">
      <c r="A15" s="10">
        <f t="shared" si="0"/>
        <v>13</v>
      </c>
      <c r="B15" s="9" t="s">
        <v>43</v>
      </c>
      <c r="C15" s="9" t="s">
        <v>103</v>
      </c>
      <c r="D15" s="8" t="s">
        <v>1</v>
      </c>
      <c r="E15" s="13">
        <v>25715</v>
      </c>
      <c r="F15" s="7">
        <v>36536</v>
      </c>
      <c r="G15" s="11">
        <v>20329.6875</v>
      </c>
      <c r="H15" s="7">
        <v>43138</v>
      </c>
      <c r="I15">
        <v>100</v>
      </c>
      <c r="J15" s="11">
        <v>253597.5</v>
      </c>
      <c r="K15" s="11">
        <v>0</v>
      </c>
      <c r="L15" s="7"/>
      <c r="M15" s="11">
        <v>0</v>
      </c>
      <c r="Q15" s="21"/>
      <c r="R15" s="7"/>
    </row>
    <row r="16" spans="1:18">
      <c r="A16" s="10">
        <f t="shared" si="0"/>
        <v>14</v>
      </c>
      <c r="B16" s="9" t="s">
        <v>61</v>
      </c>
      <c r="C16" s="9" t="s">
        <v>158</v>
      </c>
      <c r="D16" s="8" t="s">
        <v>4</v>
      </c>
      <c r="E16" s="13">
        <v>25680</v>
      </c>
      <c r="F16" s="7">
        <v>37226</v>
      </c>
      <c r="G16" s="11">
        <v>20250</v>
      </c>
      <c r="H16" s="7"/>
      <c r="I16" s="7"/>
      <c r="J16" s="11">
        <v>223165.8</v>
      </c>
      <c r="K16" s="11">
        <f>G16</f>
        <v>20250</v>
      </c>
      <c r="L16" s="7">
        <v>45689</v>
      </c>
      <c r="M16" s="11">
        <v>190000</v>
      </c>
      <c r="O16" t="s">
        <v>265</v>
      </c>
      <c r="P16" s="7"/>
      <c r="Q16" s="21"/>
      <c r="R16" s="7"/>
    </row>
    <row r="17" spans="1:18" ht="15" customHeight="1">
      <c r="A17" s="10">
        <f t="shared" si="0"/>
        <v>15</v>
      </c>
      <c r="B17" s="9" t="s">
        <v>35</v>
      </c>
      <c r="C17" s="9" t="s">
        <v>159</v>
      </c>
      <c r="D17" s="8" t="s">
        <v>1</v>
      </c>
      <c r="E17" s="13">
        <v>24546</v>
      </c>
      <c r="F17" s="7">
        <v>40585</v>
      </c>
      <c r="G17" s="11">
        <v>26625</v>
      </c>
      <c r="H17" s="7">
        <f>F17</f>
        <v>40585</v>
      </c>
      <c r="I17">
        <v>72</v>
      </c>
      <c r="J17" s="11">
        <v>0</v>
      </c>
      <c r="K17" s="11">
        <v>0</v>
      </c>
      <c r="L17" s="7"/>
      <c r="M17" s="11">
        <v>0</v>
      </c>
      <c r="Q17" s="21"/>
      <c r="R17" s="7"/>
    </row>
    <row r="18" spans="1:18" ht="15" customHeight="1">
      <c r="A18" s="10">
        <f t="shared" si="0"/>
        <v>16</v>
      </c>
      <c r="B18" s="9" t="s">
        <v>6</v>
      </c>
      <c r="C18" s="9" t="s">
        <v>105</v>
      </c>
      <c r="D18" s="8" t="s">
        <v>4</v>
      </c>
      <c r="E18" s="13">
        <v>24993</v>
      </c>
      <c r="F18" s="7">
        <v>36888</v>
      </c>
      <c r="G18" s="11">
        <v>7978.125</v>
      </c>
      <c r="H18" s="7">
        <v>43011</v>
      </c>
      <c r="I18">
        <v>72</v>
      </c>
      <c r="J18" s="11">
        <v>152158.5</v>
      </c>
      <c r="K18" s="11">
        <v>0</v>
      </c>
      <c r="L18" s="7"/>
      <c r="M18" s="11">
        <v>0</v>
      </c>
      <c r="Q18" s="21"/>
      <c r="R18" s="7"/>
    </row>
    <row r="19" spans="1:18" ht="15" customHeight="1">
      <c r="A19" s="10">
        <f t="shared" si="0"/>
        <v>17</v>
      </c>
      <c r="B19" s="9" t="s">
        <v>29</v>
      </c>
      <c r="C19" s="9" t="s">
        <v>57</v>
      </c>
      <c r="D19" s="8" t="s">
        <v>4</v>
      </c>
      <c r="E19" s="13">
        <v>24700</v>
      </c>
      <c r="F19" s="7">
        <v>38735</v>
      </c>
      <c r="G19" s="11">
        <v>14751.5625</v>
      </c>
      <c r="H19" s="7">
        <f t="shared" ref="H19:H20" si="2">F19</f>
        <v>38735</v>
      </c>
      <c r="I19">
        <v>72</v>
      </c>
      <c r="J19" s="11">
        <v>0</v>
      </c>
      <c r="K19" s="11">
        <v>0</v>
      </c>
      <c r="L19" s="7"/>
      <c r="M19" s="11">
        <v>0</v>
      </c>
      <c r="Q19" s="21"/>
      <c r="R19" s="7"/>
    </row>
    <row r="20" spans="1:18" ht="15" customHeight="1">
      <c r="A20" s="10">
        <f t="shared" si="0"/>
        <v>18</v>
      </c>
      <c r="B20" s="9" t="s">
        <v>161</v>
      </c>
      <c r="C20" s="9" t="s">
        <v>160</v>
      </c>
      <c r="D20" s="8" t="s">
        <v>4</v>
      </c>
      <c r="E20" s="13">
        <v>24791</v>
      </c>
      <c r="F20" s="7">
        <v>40418</v>
      </c>
      <c r="G20" s="11">
        <v>18337.5</v>
      </c>
      <c r="H20" s="7">
        <f t="shared" si="2"/>
        <v>40418</v>
      </c>
      <c r="I20">
        <v>100</v>
      </c>
      <c r="J20" s="11">
        <v>0</v>
      </c>
      <c r="K20" s="11">
        <v>0</v>
      </c>
      <c r="L20" s="7"/>
      <c r="M20" s="11">
        <v>0</v>
      </c>
      <c r="Q20" s="21"/>
      <c r="R20" s="7"/>
    </row>
    <row r="21" spans="1:18" ht="15" customHeight="1">
      <c r="A21" s="10">
        <f t="shared" si="0"/>
        <v>19</v>
      </c>
      <c r="B21" s="9" t="s">
        <v>163</v>
      </c>
      <c r="C21" s="9" t="s">
        <v>162</v>
      </c>
      <c r="D21" s="8" t="s">
        <v>1</v>
      </c>
      <c r="E21" s="13">
        <v>25031</v>
      </c>
      <c r="F21" s="7">
        <v>42673</v>
      </c>
      <c r="G21" s="11">
        <v>17939.0625</v>
      </c>
      <c r="H21" s="7">
        <v>42980</v>
      </c>
      <c r="I21">
        <v>100</v>
      </c>
      <c r="J21" s="11">
        <v>50719.5</v>
      </c>
      <c r="K21" s="11">
        <v>0</v>
      </c>
      <c r="L21" s="7"/>
      <c r="M21" s="11">
        <v>0</v>
      </c>
      <c r="Q21" s="21"/>
      <c r="R21" s="7"/>
    </row>
    <row r="22" spans="1:18">
      <c r="A22" s="10">
        <f t="shared" si="0"/>
        <v>20</v>
      </c>
      <c r="B22" s="9" t="s">
        <v>139</v>
      </c>
      <c r="C22" s="9" t="s">
        <v>96</v>
      </c>
      <c r="D22" s="8" t="s">
        <v>4</v>
      </c>
      <c r="E22" s="13">
        <v>25448</v>
      </c>
      <c r="F22" s="7">
        <v>42702</v>
      </c>
      <c r="G22" s="11">
        <v>7579.6875</v>
      </c>
      <c r="H22" s="7"/>
      <c r="I22" s="7"/>
      <c r="J22" s="11">
        <v>121726.79999999999</v>
      </c>
      <c r="K22" s="11">
        <f>G22</f>
        <v>7579.6875</v>
      </c>
      <c r="L22" s="7">
        <v>46022</v>
      </c>
      <c r="M22" s="11">
        <v>120000</v>
      </c>
      <c r="O22" t="s">
        <v>265</v>
      </c>
      <c r="P22" s="7"/>
      <c r="Q22" s="21"/>
      <c r="R22" s="7"/>
    </row>
    <row r="23" spans="1:18" ht="15" customHeight="1">
      <c r="A23" s="10">
        <f t="shared" si="0"/>
        <v>21</v>
      </c>
      <c r="B23" s="9" t="s">
        <v>27</v>
      </c>
      <c r="C23" s="9" t="s">
        <v>164</v>
      </c>
      <c r="D23" s="8" t="s">
        <v>1</v>
      </c>
      <c r="E23" s="13">
        <v>25149</v>
      </c>
      <c r="F23" s="7">
        <v>36888</v>
      </c>
      <c r="G23" s="11">
        <v>16743.75</v>
      </c>
      <c r="H23" s="7">
        <f>F23</f>
        <v>36888</v>
      </c>
      <c r="I23">
        <v>100</v>
      </c>
      <c r="J23" s="11">
        <v>0</v>
      </c>
      <c r="K23" s="11">
        <v>0</v>
      </c>
      <c r="L23" s="7"/>
      <c r="M23" s="11">
        <v>0</v>
      </c>
      <c r="Q23" s="21"/>
      <c r="R23" s="7"/>
    </row>
    <row r="24" spans="1:18" ht="15" customHeight="1">
      <c r="A24" s="10">
        <f t="shared" si="0"/>
        <v>22</v>
      </c>
      <c r="B24" s="9" t="s">
        <v>17</v>
      </c>
      <c r="C24" s="9" t="s">
        <v>165</v>
      </c>
      <c r="D24" s="8" t="s">
        <v>4</v>
      </c>
      <c r="E24" s="13">
        <v>25258</v>
      </c>
      <c r="F24" s="7">
        <v>40522</v>
      </c>
      <c r="G24" s="11">
        <v>39375</v>
      </c>
      <c r="H24" s="7">
        <v>42975</v>
      </c>
      <c r="I24">
        <v>72</v>
      </c>
      <c r="J24" s="11">
        <v>180000</v>
      </c>
      <c r="K24" s="11">
        <v>0</v>
      </c>
      <c r="L24" s="7"/>
      <c r="M24" s="11">
        <v>0</v>
      </c>
      <c r="Q24" s="21"/>
      <c r="R24" s="7"/>
    </row>
    <row r="25" spans="1:18">
      <c r="A25" s="10">
        <f t="shared" si="0"/>
        <v>23</v>
      </c>
      <c r="B25" s="9" t="s">
        <v>129</v>
      </c>
      <c r="C25" s="9" t="s">
        <v>166</v>
      </c>
      <c r="D25" s="8" t="s">
        <v>1</v>
      </c>
      <c r="E25" s="13">
        <v>25413</v>
      </c>
      <c r="F25" s="7">
        <v>42399</v>
      </c>
      <c r="G25" s="11">
        <v>20315.808593749975</v>
      </c>
      <c r="H25" s="7">
        <v>42975</v>
      </c>
      <c r="I25">
        <v>100</v>
      </c>
      <c r="J25" s="11">
        <v>27000</v>
      </c>
      <c r="K25" s="11">
        <v>0</v>
      </c>
      <c r="L25" s="7">
        <v>46022</v>
      </c>
      <c r="M25" s="11">
        <v>27000</v>
      </c>
      <c r="O25" t="s">
        <v>265</v>
      </c>
      <c r="P25" s="7"/>
      <c r="Q25" s="21"/>
      <c r="R25" s="7"/>
    </row>
    <row r="26" spans="1:18" ht="15" customHeight="1">
      <c r="A26" s="10">
        <f t="shared" si="0"/>
        <v>24</v>
      </c>
      <c r="B26" s="9" t="s">
        <v>70</v>
      </c>
      <c r="C26" s="9" t="s">
        <v>132</v>
      </c>
      <c r="D26" s="8" t="s">
        <v>1</v>
      </c>
      <c r="E26" s="13">
        <v>28115</v>
      </c>
      <c r="F26" s="7">
        <v>42675</v>
      </c>
      <c r="G26" s="11">
        <v>20250</v>
      </c>
      <c r="H26" s="7">
        <f t="shared" ref="H26:H27" si="3">F26</f>
        <v>42675</v>
      </c>
      <c r="I26">
        <v>100</v>
      </c>
      <c r="J26" s="11">
        <v>0</v>
      </c>
      <c r="K26" s="11">
        <v>0</v>
      </c>
      <c r="L26" s="7"/>
      <c r="M26" s="11">
        <v>0</v>
      </c>
      <c r="Q26" s="21"/>
      <c r="R26" s="7"/>
    </row>
    <row r="27" spans="1:18" ht="15" customHeight="1">
      <c r="A27" s="10">
        <f t="shared" si="0"/>
        <v>25</v>
      </c>
      <c r="B27" s="9" t="s">
        <v>2</v>
      </c>
      <c r="C27" s="9" t="s">
        <v>167</v>
      </c>
      <c r="D27" s="8" t="s">
        <v>1</v>
      </c>
      <c r="E27" s="13">
        <v>26113</v>
      </c>
      <c r="F27" s="7">
        <v>40480</v>
      </c>
      <c r="G27" s="11">
        <v>7579.6875</v>
      </c>
      <c r="H27" s="7">
        <f t="shared" si="3"/>
        <v>40480</v>
      </c>
      <c r="I27">
        <v>100</v>
      </c>
      <c r="J27" s="11">
        <v>0</v>
      </c>
      <c r="K27" s="11">
        <v>0</v>
      </c>
      <c r="L27" s="7"/>
      <c r="M27" s="11">
        <v>0</v>
      </c>
      <c r="Q27" s="21"/>
      <c r="R27" s="7"/>
    </row>
    <row r="28" spans="1:18" ht="15" customHeight="1">
      <c r="A28" s="10">
        <f t="shared" si="0"/>
        <v>26</v>
      </c>
      <c r="B28" s="9" t="s">
        <v>169</v>
      </c>
      <c r="C28" s="9" t="s">
        <v>168</v>
      </c>
      <c r="D28" s="8" t="s">
        <v>4</v>
      </c>
      <c r="E28" s="13">
        <v>26228</v>
      </c>
      <c r="F28" s="7">
        <v>42721</v>
      </c>
      <c r="G28" s="11">
        <v>17756.511718749945</v>
      </c>
      <c r="H28" s="7">
        <v>43038</v>
      </c>
      <c r="I28">
        <v>100</v>
      </c>
      <c r="J28" s="11">
        <v>84000</v>
      </c>
      <c r="K28" s="11">
        <v>0</v>
      </c>
      <c r="L28" s="7"/>
      <c r="M28" s="11">
        <v>0</v>
      </c>
      <c r="Q28" s="21"/>
      <c r="R28" s="7"/>
    </row>
    <row r="29" spans="1:18" ht="15" customHeight="1">
      <c r="A29" s="10">
        <f t="shared" si="0"/>
        <v>27</v>
      </c>
      <c r="B29" s="9" t="s">
        <v>69</v>
      </c>
      <c r="C29" s="9" t="s">
        <v>37</v>
      </c>
      <c r="D29" s="8" t="s">
        <v>1</v>
      </c>
      <c r="E29" s="13">
        <v>26936</v>
      </c>
      <c r="F29" s="7">
        <v>38735</v>
      </c>
      <c r="G29" s="11">
        <v>9571.875</v>
      </c>
      <c r="H29" s="7">
        <f>F29</f>
        <v>38735</v>
      </c>
      <c r="I29">
        <v>100</v>
      </c>
      <c r="J29" s="11">
        <v>0</v>
      </c>
      <c r="K29" s="11">
        <v>0</v>
      </c>
      <c r="L29" s="7"/>
      <c r="M29" s="11">
        <v>0</v>
      </c>
      <c r="Q29" s="21"/>
      <c r="R29" s="7"/>
    </row>
    <row r="30" spans="1:18" ht="15" customHeight="1">
      <c r="A30" s="10">
        <f t="shared" si="0"/>
        <v>28</v>
      </c>
      <c r="B30" s="9" t="s">
        <v>68</v>
      </c>
      <c r="C30" s="9" t="s">
        <v>99</v>
      </c>
      <c r="D30" s="8" t="s">
        <v>4</v>
      </c>
      <c r="E30" s="13">
        <v>26881</v>
      </c>
      <c r="F30" s="7">
        <v>42399</v>
      </c>
      <c r="G30" s="11">
        <v>19134.375</v>
      </c>
      <c r="H30" s="7"/>
      <c r="I30" s="7"/>
      <c r="J30" s="11">
        <v>253597.5</v>
      </c>
      <c r="K30" s="11">
        <f>G30</f>
        <v>19134.375</v>
      </c>
      <c r="L30" s="7"/>
      <c r="M30" s="11">
        <v>0</v>
      </c>
      <c r="Q30" s="21"/>
      <c r="R30" s="7"/>
    </row>
    <row r="31" spans="1:18">
      <c r="A31" s="10">
        <f t="shared" si="0"/>
        <v>29</v>
      </c>
      <c r="B31" s="9" t="s">
        <v>94</v>
      </c>
      <c r="C31" s="9" t="s">
        <v>170</v>
      </c>
      <c r="D31" s="8" t="s">
        <v>1</v>
      </c>
      <c r="E31" s="13">
        <v>27079</v>
      </c>
      <c r="F31" s="7">
        <v>41271</v>
      </c>
      <c r="G31" s="11">
        <v>16582.515624999945</v>
      </c>
      <c r="H31" s="7">
        <f t="shared" ref="H31:H33" si="4">F31</f>
        <v>41271</v>
      </c>
      <c r="I31">
        <v>100</v>
      </c>
      <c r="J31" s="11">
        <v>0</v>
      </c>
      <c r="K31" s="11">
        <v>0</v>
      </c>
      <c r="L31" s="7">
        <v>46022</v>
      </c>
      <c r="M31" s="11">
        <v>0</v>
      </c>
      <c r="O31" t="s">
        <v>265</v>
      </c>
      <c r="P31" s="7"/>
      <c r="Q31" s="21"/>
      <c r="R31" s="7"/>
    </row>
    <row r="32" spans="1:18" ht="15" customHeight="1">
      <c r="A32" s="10">
        <f t="shared" si="0"/>
        <v>30</v>
      </c>
      <c r="B32" s="9" t="s">
        <v>20</v>
      </c>
      <c r="C32" s="9" t="s">
        <v>171</v>
      </c>
      <c r="D32" s="8" t="s">
        <v>1</v>
      </c>
      <c r="E32" s="13">
        <v>28384</v>
      </c>
      <c r="F32" s="7">
        <v>41936</v>
      </c>
      <c r="G32" s="11">
        <v>7978.125</v>
      </c>
      <c r="H32" s="7">
        <f t="shared" si="4"/>
        <v>41936</v>
      </c>
      <c r="I32">
        <v>100</v>
      </c>
      <c r="J32" s="11">
        <v>0</v>
      </c>
      <c r="K32" s="11">
        <v>0</v>
      </c>
      <c r="L32" s="7"/>
      <c r="M32" s="11">
        <v>0</v>
      </c>
      <c r="Q32" s="21"/>
      <c r="R32" s="7"/>
    </row>
    <row r="33" spans="1:18" ht="15" customHeight="1">
      <c r="A33" s="10">
        <f t="shared" si="0"/>
        <v>31</v>
      </c>
      <c r="B33" s="9" t="s">
        <v>81</v>
      </c>
      <c r="C33" s="9" t="s">
        <v>172</v>
      </c>
      <c r="D33" s="8" t="s">
        <v>4</v>
      </c>
      <c r="E33" s="13">
        <v>29941</v>
      </c>
      <c r="F33" s="7">
        <v>42426</v>
      </c>
      <c r="G33" s="11">
        <v>6554.109375</v>
      </c>
      <c r="H33" s="7">
        <f t="shared" si="4"/>
        <v>42426</v>
      </c>
      <c r="I33">
        <v>100</v>
      </c>
      <c r="J33" s="11">
        <v>0</v>
      </c>
      <c r="K33" s="11">
        <v>0</v>
      </c>
      <c r="L33" s="7"/>
      <c r="M33" s="11">
        <v>0</v>
      </c>
      <c r="Q33" s="21"/>
      <c r="R33" s="7"/>
    </row>
    <row r="34" spans="1:18" ht="15" customHeight="1">
      <c r="A34" s="10">
        <f t="shared" si="0"/>
        <v>32</v>
      </c>
      <c r="B34" s="9" t="s">
        <v>117</v>
      </c>
      <c r="C34" s="9" t="s">
        <v>173</v>
      </c>
      <c r="D34" s="8" t="s">
        <v>1</v>
      </c>
      <c r="E34" s="13">
        <v>29942</v>
      </c>
      <c r="F34" s="7">
        <v>39311</v>
      </c>
      <c r="G34" s="11">
        <v>14353.125</v>
      </c>
      <c r="H34" s="7"/>
      <c r="I34" s="7"/>
      <c r="J34" s="11">
        <v>182590.19999999998</v>
      </c>
      <c r="K34" s="11">
        <f>G34</f>
        <v>14353.125</v>
      </c>
      <c r="L34" s="7"/>
      <c r="M34" s="11">
        <v>0</v>
      </c>
      <c r="Q34" s="21"/>
      <c r="R34" s="7"/>
    </row>
    <row r="35" spans="1:18" ht="15" customHeight="1">
      <c r="A35" s="10">
        <f t="shared" si="0"/>
        <v>33</v>
      </c>
      <c r="B35" s="9" t="s">
        <v>13</v>
      </c>
      <c r="C35" s="9" t="s">
        <v>122</v>
      </c>
      <c r="D35" s="8" t="s">
        <v>4</v>
      </c>
      <c r="E35" s="13">
        <v>30225</v>
      </c>
      <c r="F35" s="7">
        <v>39112</v>
      </c>
      <c r="G35" s="11">
        <v>6125.390625</v>
      </c>
      <c r="H35" s="7"/>
      <c r="I35" s="7"/>
      <c r="J35" s="11">
        <v>81151.199999999997</v>
      </c>
      <c r="K35" s="11">
        <v>0</v>
      </c>
      <c r="L35" s="7"/>
      <c r="M35" s="11">
        <v>0</v>
      </c>
      <c r="Q35" s="21"/>
      <c r="R35" s="7"/>
    </row>
    <row r="36" spans="1:18" ht="15" customHeight="1">
      <c r="A36" s="10">
        <f t="shared" si="0"/>
        <v>34</v>
      </c>
      <c r="B36" s="9" t="s">
        <v>175</v>
      </c>
      <c r="C36" s="9" t="s">
        <v>174</v>
      </c>
      <c r="D36" s="8" t="s">
        <v>1</v>
      </c>
      <c r="E36" s="13">
        <v>27873</v>
      </c>
      <c r="F36" s="7">
        <v>37226</v>
      </c>
      <c r="G36" s="11">
        <v>21525</v>
      </c>
      <c r="H36" s="7">
        <v>43166</v>
      </c>
      <c r="I36">
        <v>100</v>
      </c>
      <c r="J36" s="11">
        <v>243453.59999999998</v>
      </c>
      <c r="K36" s="11">
        <v>0</v>
      </c>
      <c r="L36" s="7"/>
      <c r="M36" s="11">
        <v>0</v>
      </c>
      <c r="Q36" s="21"/>
      <c r="R36" s="7"/>
    </row>
    <row r="37" spans="1:18">
      <c r="A37" s="10">
        <f t="shared" si="0"/>
        <v>35</v>
      </c>
      <c r="B37" s="9" t="s">
        <v>176</v>
      </c>
      <c r="C37" s="9" t="s">
        <v>16</v>
      </c>
      <c r="D37" s="8" t="s">
        <v>1</v>
      </c>
      <c r="E37" s="13">
        <v>29375</v>
      </c>
      <c r="F37" s="7">
        <v>42100</v>
      </c>
      <c r="G37" s="11">
        <v>8137.5</v>
      </c>
      <c r="H37" s="7">
        <f t="shared" ref="H37:H38" si="5">F37</f>
        <v>42100</v>
      </c>
      <c r="I37">
        <v>100</v>
      </c>
      <c r="J37" s="11">
        <v>0</v>
      </c>
      <c r="K37" s="11">
        <v>0</v>
      </c>
      <c r="L37" s="7">
        <v>45870</v>
      </c>
      <c r="M37" s="11">
        <v>0</v>
      </c>
      <c r="O37" t="s">
        <v>265</v>
      </c>
      <c r="P37" s="7"/>
      <c r="Q37" s="21"/>
      <c r="R37" s="7"/>
    </row>
    <row r="38" spans="1:18" ht="15" customHeight="1">
      <c r="A38" s="10">
        <f t="shared" si="0"/>
        <v>36</v>
      </c>
      <c r="B38" s="9" t="s">
        <v>7</v>
      </c>
      <c r="C38" s="9" t="s">
        <v>177</v>
      </c>
      <c r="D38" s="8" t="s">
        <v>1</v>
      </c>
      <c r="E38" s="13">
        <v>26654</v>
      </c>
      <c r="F38" s="7">
        <v>39965</v>
      </c>
      <c r="G38" s="11">
        <v>6384.375</v>
      </c>
      <c r="H38" s="7">
        <f t="shared" si="5"/>
        <v>39965</v>
      </c>
      <c r="I38">
        <v>100</v>
      </c>
      <c r="J38" s="11">
        <v>0</v>
      </c>
      <c r="K38" s="11">
        <v>0</v>
      </c>
      <c r="L38" s="7"/>
      <c r="M38" s="11">
        <v>0</v>
      </c>
      <c r="Q38" s="21"/>
      <c r="R38" s="7"/>
    </row>
    <row r="39" spans="1:18" ht="15" customHeight="1">
      <c r="A39" s="10">
        <f t="shared" si="0"/>
        <v>37</v>
      </c>
      <c r="B39" s="9" t="s">
        <v>19</v>
      </c>
      <c r="C39" s="9" t="s">
        <v>104</v>
      </c>
      <c r="D39" s="8" t="s">
        <v>1</v>
      </c>
      <c r="E39" s="13">
        <v>26707</v>
      </c>
      <c r="F39" s="7">
        <v>38838</v>
      </c>
      <c r="G39" s="11">
        <v>13954.6875</v>
      </c>
      <c r="H39" s="7">
        <v>42887</v>
      </c>
      <c r="I39">
        <v>100</v>
      </c>
      <c r="J39" s="11">
        <v>152158.5</v>
      </c>
      <c r="K39" s="11">
        <v>0</v>
      </c>
      <c r="L39" s="7"/>
      <c r="M39" s="11">
        <v>0</v>
      </c>
      <c r="Q39" s="21"/>
      <c r="R39" s="7"/>
    </row>
    <row r="40" spans="1:18" ht="15" customHeight="1">
      <c r="A40" s="10">
        <f t="shared" si="0"/>
        <v>38</v>
      </c>
      <c r="B40" s="9" t="s">
        <v>60</v>
      </c>
      <c r="C40" s="9" t="s">
        <v>9</v>
      </c>
      <c r="D40" s="8" t="s">
        <v>1</v>
      </c>
      <c r="E40" s="13">
        <v>26711</v>
      </c>
      <c r="F40" s="7">
        <v>40606</v>
      </c>
      <c r="G40" s="11">
        <v>11962.5</v>
      </c>
      <c r="H40" s="7">
        <f t="shared" ref="H40:H42" si="6">F40</f>
        <v>40606</v>
      </c>
      <c r="I40">
        <v>72</v>
      </c>
      <c r="J40" s="11">
        <v>0</v>
      </c>
      <c r="K40" s="11">
        <v>0</v>
      </c>
      <c r="L40" s="7"/>
      <c r="M40" s="11">
        <v>0</v>
      </c>
      <c r="Q40" s="21"/>
      <c r="R40" s="7"/>
    </row>
    <row r="41" spans="1:18" ht="15" customHeight="1">
      <c r="A41" s="10">
        <f t="shared" si="0"/>
        <v>39</v>
      </c>
      <c r="B41" s="9" t="s">
        <v>65</v>
      </c>
      <c r="C41" s="9" t="s">
        <v>25</v>
      </c>
      <c r="D41" s="8" t="s">
        <v>1</v>
      </c>
      <c r="E41" s="13">
        <v>29718</v>
      </c>
      <c r="F41" s="7">
        <v>41117</v>
      </c>
      <c r="G41" s="11">
        <v>8376.5625</v>
      </c>
      <c r="H41" s="7">
        <f t="shared" si="6"/>
        <v>41117</v>
      </c>
      <c r="I41">
        <v>100</v>
      </c>
      <c r="J41" s="11">
        <v>0</v>
      </c>
      <c r="K41" s="11">
        <v>0</v>
      </c>
      <c r="L41" s="7"/>
      <c r="M41" s="11">
        <v>0</v>
      </c>
      <c r="Q41" s="21"/>
      <c r="R41" s="7"/>
    </row>
    <row r="42" spans="1:18">
      <c r="A42" s="10">
        <f t="shared" si="0"/>
        <v>40</v>
      </c>
      <c r="B42" s="9" t="s">
        <v>178</v>
      </c>
      <c r="C42" s="9" t="s">
        <v>74</v>
      </c>
      <c r="D42" s="8" t="s">
        <v>4</v>
      </c>
      <c r="E42" s="13">
        <v>34141</v>
      </c>
      <c r="F42" s="7">
        <v>43371</v>
      </c>
      <c r="G42" s="11">
        <v>6185.15625</v>
      </c>
      <c r="H42" s="7">
        <f t="shared" si="6"/>
        <v>43371</v>
      </c>
      <c r="I42">
        <v>100</v>
      </c>
      <c r="J42" s="11">
        <v>0</v>
      </c>
      <c r="K42" s="11">
        <v>0</v>
      </c>
      <c r="L42" s="7">
        <v>45722</v>
      </c>
      <c r="M42" s="11">
        <v>0</v>
      </c>
      <c r="O42" t="s">
        <v>266</v>
      </c>
      <c r="P42" s="7"/>
      <c r="Q42" s="21"/>
      <c r="R42" s="7"/>
    </row>
    <row r="43" spans="1:18" ht="15" customHeight="1">
      <c r="A43" s="10">
        <f t="shared" si="0"/>
        <v>41</v>
      </c>
      <c r="B43" s="9" t="s">
        <v>59</v>
      </c>
      <c r="C43" s="9" t="s">
        <v>179</v>
      </c>
      <c r="D43" s="8" t="s">
        <v>4</v>
      </c>
      <c r="E43" s="13">
        <v>24038</v>
      </c>
      <c r="F43" s="7">
        <v>36982</v>
      </c>
      <c r="G43" s="11">
        <v>10209.375</v>
      </c>
      <c r="H43" s="7">
        <v>41669</v>
      </c>
      <c r="I43">
        <v>100</v>
      </c>
      <c r="J43" s="11">
        <v>156000</v>
      </c>
      <c r="K43" s="11">
        <v>0</v>
      </c>
      <c r="L43" s="7"/>
      <c r="M43" s="11">
        <v>0</v>
      </c>
      <c r="Q43" s="21"/>
      <c r="R43" s="7"/>
    </row>
    <row r="44" spans="1:18" ht="15" customHeight="1">
      <c r="A44" s="10">
        <f t="shared" si="0"/>
        <v>42</v>
      </c>
      <c r="B44" s="9" t="s">
        <v>127</v>
      </c>
      <c r="C44" s="9" t="s">
        <v>110</v>
      </c>
      <c r="D44" s="8" t="s">
        <v>4</v>
      </c>
      <c r="E44" s="13">
        <v>34310</v>
      </c>
      <c r="F44" s="7">
        <v>42616</v>
      </c>
      <c r="G44" s="11">
        <v>6782.8125</v>
      </c>
      <c r="H44" s="7">
        <f t="shared" ref="H44:H47" si="7">F44</f>
        <v>42616</v>
      </c>
      <c r="I44">
        <v>100</v>
      </c>
      <c r="J44" s="11">
        <v>0</v>
      </c>
      <c r="K44" s="11">
        <v>0</v>
      </c>
      <c r="L44" s="7"/>
      <c r="M44" s="11">
        <v>0</v>
      </c>
      <c r="Q44" s="21"/>
      <c r="R44" s="7"/>
    </row>
    <row r="45" spans="1:18" ht="15" customHeight="1">
      <c r="A45" s="10">
        <f t="shared" si="0"/>
        <v>43</v>
      </c>
      <c r="B45" s="9" t="s">
        <v>121</v>
      </c>
      <c r="C45" s="9" t="s">
        <v>180</v>
      </c>
      <c r="D45" s="8" t="s">
        <v>4</v>
      </c>
      <c r="E45" s="13">
        <v>28737</v>
      </c>
      <c r="F45" s="7">
        <v>41127</v>
      </c>
      <c r="G45" s="11">
        <v>10368.75</v>
      </c>
      <c r="H45" s="7">
        <f t="shared" si="7"/>
        <v>41127</v>
      </c>
      <c r="I45">
        <v>100</v>
      </c>
      <c r="J45" s="11">
        <v>0</v>
      </c>
      <c r="K45" s="11">
        <v>0</v>
      </c>
      <c r="L45" s="7"/>
      <c r="M45" s="11">
        <v>0</v>
      </c>
      <c r="Q45" s="21"/>
      <c r="R45" s="7"/>
    </row>
    <row r="46" spans="1:18" ht="15" customHeight="1">
      <c r="A46" s="10">
        <f t="shared" si="0"/>
        <v>44</v>
      </c>
      <c r="B46" s="9" t="s">
        <v>12</v>
      </c>
      <c r="C46" s="9" t="s">
        <v>181</v>
      </c>
      <c r="D46" s="8" t="s">
        <v>1</v>
      </c>
      <c r="E46" s="13">
        <v>26628</v>
      </c>
      <c r="F46" s="7">
        <v>40418</v>
      </c>
      <c r="G46" s="11">
        <v>10727.34375</v>
      </c>
      <c r="H46" s="7">
        <f t="shared" si="7"/>
        <v>40418</v>
      </c>
      <c r="I46">
        <v>72</v>
      </c>
      <c r="J46" s="11">
        <v>0</v>
      </c>
      <c r="K46" s="11">
        <v>0</v>
      </c>
      <c r="L46" s="7"/>
      <c r="M46" s="11">
        <v>0</v>
      </c>
      <c r="Q46" s="21"/>
      <c r="R46" s="7"/>
    </row>
    <row r="47" spans="1:18" ht="15" customHeight="1">
      <c r="A47" s="10">
        <f t="shared" si="0"/>
        <v>45</v>
      </c>
      <c r="B47" s="9" t="s">
        <v>76</v>
      </c>
      <c r="C47" s="9" t="s">
        <v>182</v>
      </c>
      <c r="D47" s="8" t="s">
        <v>4</v>
      </c>
      <c r="E47" s="13">
        <v>35049</v>
      </c>
      <c r="F47" s="7">
        <v>43348</v>
      </c>
      <c r="G47" s="11">
        <v>6185.15625</v>
      </c>
      <c r="H47" s="7">
        <f t="shared" si="7"/>
        <v>43348</v>
      </c>
      <c r="I47">
        <v>72</v>
      </c>
      <c r="J47" s="11">
        <v>0</v>
      </c>
      <c r="K47" s="11">
        <v>0</v>
      </c>
      <c r="L47" s="7"/>
      <c r="M47" s="11">
        <v>0</v>
      </c>
      <c r="Q47" s="21"/>
      <c r="R47" s="7"/>
    </row>
    <row r="48" spans="1:18" ht="15" customHeight="1">
      <c r="A48" s="10">
        <f t="shared" si="0"/>
        <v>46</v>
      </c>
      <c r="B48" s="9" t="s">
        <v>183</v>
      </c>
      <c r="C48" s="9" t="s">
        <v>58</v>
      </c>
      <c r="D48" s="8" t="s">
        <v>4</v>
      </c>
      <c r="E48" s="13">
        <v>24070</v>
      </c>
      <c r="F48" s="7">
        <v>35400</v>
      </c>
      <c r="G48" s="11">
        <v>11962.5</v>
      </c>
      <c r="H48" s="7"/>
      <c r="I48" s="7"/>
      <c r="J48" s="11">
        <v>355036.5</v>
      </c>
      <c r="K48" s="11">
        <f>G48</f>
        <v>11962.5</v>
      </c>
      <c r="L48" s="7"/>
      <c r="M48" s="11">
        <v>0</v>
      </c>
      <c r="Q48" s="21"/>
      <c r="R48" s="7"/>
    </row>
    <row r="49" spans="1:18" ht="15" customHeight="1">
      <c r="A49" s="10">
        <f t="shared" si="0"/>
        <v>47</v>
      </c>
      <c r="B49" s="9" t="s">
        <v>185</v>
      </c>
      <c r="C49" s="9" t="s">
        <v>184</v>
      </c>
      <c r="D49" s="8" t="s">
        <v>4</v>
      </c>
      <c r="E49" s="13">
        <v>23836</v>
      </c>
      <c r="F49" s="7">
        <v>41509</v>
      </c>
      <c r="G49" s="11">
        <v>7978.125</v>
      </c>
      <c r="H49" s="7">
        <f>F49</f>
        <v>41509</v>
      </c>
      <c r="I49">
        <v>72</v>
      </c>
      <c r="J49" s="11">
        <v>0</v>
      </c>
      <c r="K49" s="11">
        <v>0</v>
      </c>
      <c r="L49" s="7"/>
      <c r="M49" s="11">
        <v>0</v>
      </c>
      <c r="Q49" s="21"/>
      <c r="R49" s="7"/>
    </row>
    <row r="50" spans="1:18" ht="15" customHeight="1">
      <c r="A50" s="10">
        <f t="shared" si="0"/>
        <v>48</v>
      </c>
      <c r="B50" s="9" t="s">
        <v>29</v>
      </c>
      <c r="C50" s="9" t="s">
        <v>108</v>
      </c>
      <c r="D50" s="8" t="s">
        <v>4</v>
      </c>
      <c r="E50" s="13">
        <v>25992</v>
      </c>
      <c r="F50" s="7">
        <v>36069</v>
      </c>
      <c r="G50" s="11">
        <v>12121.875</v>
      </c>
      <c r="H50" s="7">
        <v>41852</v>
      </c>
      <c r="I50">
        <v>72</v>
      </c>
      <c r="J50" s="11">
        <v>240000</v>
      </c>
      <c r="K50" s="11">
        <v>0</v>
      </c>
      <c r="L50" s="7"/>
      <c r="M50" s="11">
        <v>0</v>
      </c>
      <c r="Q50" s="21"/>
      <c r="R50" s="7"/>
    </row>
    <row r="51" spans="1:18" ht="30">
      <c r="A51" s="10">
        <f t="shared" si="0"/>
        <v>49</v>
      </c>
      <c r="B51" s="9" t="s">
        <v>124</v>
      </c>
      <c r="C51" s="9" t="s">
        <v>186</v>
      </c>
      <c r="D51" s="8" t="s">
        <v>1</v>
      </c>
      <c r="E51" s="13">
        <v>20897</v>
      </c>
      <c r="F51" s="7">
        <v>36626</v>
      </c>
      <c r="G51" s="11">
        <v>5832.9375</v>
      </c>
      <c r="H51" s="7">
        <v>41547</v>
      </c>
      <c r="I51">
        <v>100</v>
      </c>
      <c r="J51" s="11">
        <v>84000</v>
      </c>
      <c r="K51" s="11">
        <v>0</v>
      </c>
      <c r="L51" s="7">
        <v>45869</v>
      </c>
      <c r="M51" s="11">
        <v>80000</v>
      </c>
      <c r="N51" s="11">
        <v>25000</v>
      </c>
      <c r="O51" s="1" t="s">
        <v>267</v>
      </c>
      <c r="P51" s="7"/>
      <c r="Q51" s="21"/>
      <c r="R51" s="7"/>
    </row>
    <row r="52" spans="1:18" ht="15" customHeight="1">
      <c r="A52" s="10">
        <f t="shared" si="0"/>
        <v>50</v>
      </c>
      <c r="B52" s="9" t="s">
        <v>106</v>
      </c>
      <c r="C52" s="9" t="s">
        <v>187</v>
      </c>
      <c r="D52" s="8" t="s">
        <v>1</v>
      </c>
      <c r="E52" s="13">
        <v>24160</v>
      </c>
      <c r="F52" s="7">
        <v>42672</v>
      </c>
      <c r="G52" s="11">
        <v>19134.375</v>
      </c>
      <c r="H52" s="7">
        <f t="shared" ref="H52:H57" si="8">F52</f>
        <v>42672</v>
      </c>
      <c r="I52">
        <v>100</v>
      </c>
      <c r="J52" s="11">
        <v>0</v>
      </c>
      <c r="K52" s="11">
        <v>0</v>
      </c>
      <c r="L52" s="7"/>
      <c r="M52" s="11">
        <v>0</v>
      </c>
      <c r="Q52" s="21"/>
      <c r="R52" s="7"/>
    </row>
    <row r="53" spans="1:18">
      <c r="A53" s="10">
        <f t="shared" si="0"/>
        <v>51</v>
      </c>
      <c r="B53" s="9" t="s">
        <v>84</v>
      </c>
      <c r="C53" s="9" t="s">
        <v>136</v>
      </c>
      <c r="D53" s="8" t="s">
        <v>4</v>
      </c>
      <c r="E53" s="13">
        <v>25959</v>
      </c>
      <c r="F53" s="7">
        <v>39613</v>
      </c>
      <c r="G53" s="11">
        <v>8257.828125</v>
      </c>
      <c r="H53" s="7">
        <f t="shared" si="8"/>
        <v>39613</v>
      </c>
      <c r="I53">
        <v>72</v>
      </c>
      <c r="J53" s="11">
        <v>0</v>
      </c>
      <c r="K53" s="11">
        <v>0</v>
      </c>
      <c r="L53" s="7">
        <v>46022</v>
      </c>
      <c r="M53" s="11">
        <v>0</v>
      </c>
      <c r="O53" t="s">
        <v>266</v>
      </c>
      <c r="P53" s="7"/>
      <c r="Q53" s="21"/>
      <c r="R53" s="7"/>
    </row>
    <row r="54" spans="1:18" ht="15" customHeight="1">
      <c r="A54" s="10">
        <f t="shared" si="0"/>
        <v>52</v>
      </c>
      <c r="B54" s="9" t="s">
        <v>62</v>
      </c>
      <c r="C54" s="9" t="s">
        <v>188</v>
      </c>
      <c r="D54" s="8" t="s">
        <v>1</v>
      </c>
      <c r="E54" s="13">
        <v>27496</v>
      </c>
      <c r="F54" s="7">
        <v>42673</v>
      </c>
      <c r="G54" s="11">
        <v>20250</v>
      </c>
      <c r="H54" s="7">
        <f t="shared" si="8"/>
        <v>42673</v>
      </c>
      <c r="I54">
        <v>100</v>
      </c>
      <c r="J54" s="11">
        <v>0</v>
      </c>
      <c r="K54" s="11">
        <v>0</v>
      </c>
      <c r="L54" s="7">
        <v>45809</v>
      </c>
      <c r="M54" s="11">
        <v>0</v>
      </c>
      <c r="O54" t="s">
        <v>266</v>
      </c>
      <c r="P54" s="7"/>
      <c r="Q54" s="21"/>
      <c r="R54" s="7"/>
    </row>
    <row r="55" spans="1:18">
      <c r="A55" s="10">
        <f t="shared" si="0"/>
        <v>53</v>
      </c>
      <c r="B55" s="9" t="s">
        <v>190</v>
      </c>
      <c r="C55" s="9" t="s">
        <v>189</v>
      </c>
      <c r="D55" s="8" t="s">
        <v>1</v>
      </c>
      <c r="E55" s="13">
        <v>30257</v>
      </c>
      <c r="F55" s="7">
        <v>41180</v>
      </c>
      <c r="G55" s="11">
        <v>17142.1875</v>
      </c>
      <c r="H55" s="7">
        <f t="shared" si="8"/>
        <v>41180</v>
      </c>
      <c r="I55">
        <v>100</v>
      </c>
      <c r="J55" s="11">
        <v>0</v>
      </c>
      <c r="K55" s="11">
        <v>0</v>
      </c>
      <c r="L55" s="7">
        <v>46022</v>
      </c>
      <c r="M55" s="11">
        <v>0</v>
      </c>
      <c r="O55" t="s">
        <v>266</v>
      </c>
      <c r="P55" s="7"/>
      <c r="Q55" s="21"/>
      <c r="R55" s="7"/>
    </row>
    <row r="56" spans="1:18" ht="15" customHeight="1">
      <c r="A56" s="10">
        <f t="shared" si="0"/>
        <v>54</v>
      </c>
      <c r="B56" s="9" t="s">
        <v>64</v>
      </c>
      <c r="C56" s="9" t="s">
        <v>191</v>
      </c>
      <c r="D56" s="8" t="s">
        <v>1</v>
      </c>
      <c r="E56" s="13">
        <v>29482</v>
      </c>
      <c r="F56" s="7">
        <v>42858</v>
      </c>
      <c r="G56" s="11">
        <v>12759.375</v>
      </c>
      <c r="H56" s="7">
        <f t="shared" si="8"/>
        <v>42858</v>
      </c>
      <c r="I56">
        <v>100</v>
      </c>
      <c r="J56" s="11">
        <v>0</v>
      </c>
      <c r="K56" s="11">
        <v>0</v>
      </c>
      <c r="L56" s="7">
        <v>46022</v>
      </c>
      <c r="M56" s="11">
        <v>0</v>
      </c>
      <c r="O56" t="s">
        <v>266</v>
      </c>
      <c r="P56" s="7"/>
      <c r="Q56" s="21"/>
      <c r="R56" s="7"/>
    </row>
    <row r="57" spans="1:18" ht="15" customHeight="1">
      <c r="A57" s="10">
        <f t="shared" si="0"/>
        <v>55</v>
      </c>
      <c r="B57" s="9" t="s">
        <v>36</v>
      </c>
      <c r="C57" s="9" t="s">
        <v>192</v>
      </c>
      <c r="D57" s="8" t="s">
        <v>1</v>
      </c>
      <c r="E57" s="13">
        <v>28129</v>
      </c>
      <c r="F57" s="7">
        <v>42493</v>
      </c>
      <c r="G57" s="11">
        <v>26625</v>
      </c>
      <c r="H57" s="7">
        <f t="shared" si="8"/>
        <v>42493</v>
      </c>
      <c r="I57">
        <v>100</v>
      </c>
      <c r="J57" s="11">
        <v>0</v>
      </c>
      <c r="K57" s="11">
        <v>0</v>
      </c>
      <c r="L57" s="7">
        <v>46022</v>
      </c>
      <c r="M57" s="11">
        <v>0</v>
      </c>
      <c r="O57" t="s">
        <v>266</v>
      </c>
      <c r="P57" s="7"/>
      <c r="Q57" s="21"/>
      <c r="R57" s="7"/>
    </row>
    <row r="58" spans="1:18" ht="15" customHeight="1">
      <c r="A58" s="10">
        <f t="shared" si="0"/>
        <v>56</v>
      </c>
      <c r="B58" s="9" t="s">
        <v>21</v>
      </c>
      <c r="C58" s="9" t="s">
        <v>98</v>
      </c>
      <c r="D58" s="8" t="s">
        <v>1</v>
      </c>
      <c r="E58" s="13">
        <v>28552</v>
      </c>
      <c r="F58" s="7">
        <v>39128</v>
      </c>
      <c r="G58" s="11">
        <v>19373.4375</v>
      </c>
      <c r="H58" s="7"/>
      <c r="I58" s="7"/>
      <c r="J58" s="11">
        <v>253597.5</v>
      </c>
      <c r="K58" s="11">
        <f>G58</f>
        <v>19373.4375</v>
      </c>
      <c r="L58" s="7">
        <v>46022</v>
      </c>
      <c r="M58" s="11">
        <v>0</v>
      </c>
      <c r="O58" t="s">
        <v>266</v>
      </c>
      <c r="P58" s="7"/>
      <c r="Q58" s="21"/>
      <c r="R58" s="7"/>
    </row>
    <row r="59" spans="1:18" ht="15" customHeight="1">
      <c r="A59" s="10">
        <f t="shared" si="0"/>
        <v>57</v>
      </c>
      <c r="B59" s="9" t="s">
        <v>97</v>
      </c>
      <c r="C59" s="9" t="s">
        <v>193</v>
      </c>
      <c r="D59" s="8" t="s">
        <v>1</v>
      </c>
      <c r="E59" s="13">
        <v>24324</v>
      </c>
      <c r="F59" s="7">
        <v>42712</v>
      </c>
      <c r="G59" s="11">
        <v>22760.15625</v>
      </c>
      <c r="H59" s="7">
        <f t="shared" ref="H59:H61" si="9">F59</f>
        <v>42712</v>
      </c>
      <c r="I59">
        <v>100</v>
      </c>
      <c r="J59" s="11">
        <v>0</v>
      </c>
      <c r="K59" s="11">
        <v>0</v>
      </c>
      <c r="L59" s="7">
        <v>45779</v>
      </c>
      <c r="M59" s="11">
        <v>0</v>
      </c>
      <c r="O59" t="s">
        <v>266</v>
      </c>
      <c r="P59" s="7"/>
      <c r="Q59" s="21"/>
      <c r="R59" s="7"/>
    </row>
    <row r="60" spans="1:18">
      <c r="A60" s="10">
        <f t="shared" si="0"/>
        <v>58</v>
      </c>
      <c r="B60" s="9" t="s">
        <v>113</v>
      </c>
      <c r="C60" s="9" t="s">
        <v>194</v>
      </c>
      <c r="D60" s="8" t="s">
        <v>4</v>
      </c>
      <c r="E60" s="13">
        <v>34519</v>
      </c>
      <c r="F60" s="7">
        <v>42461</v>
      </c>
      <c r="G60" s="11">
        <v>16743.75</v>
      </c>
      <c r="H60" s="7">
        <f t="shared" si="9"/>
        <v>42461</v>
      </c>
      <c r="I60">
        <v>100</v>
      </c>
      <c r="J60" s="11">
        <v>0</v>
      </c>
      <c r="K60" s="11">
        <v>0</v>
      </c>
      <c r="L60" s="7">
        <v>46022</v>
      </c>
      <c r="M60" s="11">
        <v>0</v>
      </c>
      <c r="O60" t="s">
        <v>266</v>
      </c>
      <c r="P60" s="7"/>
      <c r="Q60" s="21"/>
      <c r="R60" s="7"/>
    </row>
    <row r="61" spans="1:18" ht="15" customHeight="1">
      <c r="A61" s="10">
        <f t="shared" si="0"/>
        <v>59</v>
      </c>
      <c r="B61" s="9" t="s">
        <v>200</v>
      </c>
      <c r="C61" s="9" t="s">
        <v>195</v>
      </c>
      <c r="D61" s="8" t="s">
        <v>4</v>
      </c>
      <c r="E61" s="13">
        <v>29843</v>
      </c>
      <c r="F61" s="7">
        <v>42324</v>
      </c>
      <c r="G61" s="11">
        <v>11165.625</v>
      </c>
      <c r="H61" s="7">
        <f t="shared" si="9"/>
        <v>42324</v>
      </c>
      <c r="I61">
        <v>100</v>
      </c>
      <c r="J61" s="11">
        <v>0</v>
      </c>
      <c r="K61" s="11">
        <v>0</v>
      </c>
      <c r="L61" s="7">
        <v>46022</v>
      </c>
      <c r="M61" s="11">
        <v>0</v>
      </c>
      <c r="O61" t="s">
        <v>266</v>
      </c>
      <c r="P61" s="7"/>
      <c r="Q61" s="21"/>
      <c r="R61" s="7"/>
    </row>
    <row r="62" spans="1:18" ht="15" customHeight="1">
      <c r="A62" s="10">
        <f t="shared" si="0"/>
        <v>60</v>
      </c>
      <c r="B62" s="9" t="s">
        <v>196</v>
      </c>
      <c r="C62" s="9" t="s">
        <v>197</v>
      </c>
      <c r="D62" s="8" t="s">
        <v>4</v>
      </c>
      <c r="E62" s="13">
        <v>23617</v>
      </c>
      <c r="F62" s="7">
        <v>36342</v>
      </c>
      <c r="G62" s="11">
        <v>9420.46875</v>
      </c>
      <c r="H62" s="7">
        <v>42887</v>
      </c>
      <c r="I62">
        <v>72</v>
      </c>
      <c r="J62" s="11">
        <v>200000</v>
      </c>
      <c r="K62" s="11">
        <v>0</v>
      </c>
      <c r="L62" s="7">
        <v>45658</v>
      </c>
      <c r="M62" s="11">
        <v>0</v>
      </c>
      <c r="O62" t="s">
        <v>266</v>
      </c>
      <c r="P62" s="7"/>
      <c r="Q62" s="21"/>
      <c r="R62" s="7"/>
    </row>
    <row r="63" spans="1:18">
      <c r="A63" s="10">
        <f t="shared" si="0"/>
        <v>61</v>
      </c>
      <c r="B63" s="9" t="s">
        <v>56</v>
      </c>
      <c r="C63" s="9" t="s">
        <v>33</v>
      </c>
      <c r="D63" s="8" t="s">
        <v>1</v>
      </c>
      <c r="E63" s="13">
        <v>26588</v>
      </c>
      <c r="F63" s="7">
        <v>39661</v>
      </c>
      <c r="G63" s="11">
        <v>10755.234375</v>
      </c>
      <c r="H63" s="7"/>
      <c r="I63" s="7"/>
      <c r="J63" s="11">
        <v>142014.6</v>
      </c>
      <c r="K63" s="11">
        <v>0</v>
      </c>
      <c r="L63" s="7">
        <v>46022</v>
      </c>
      <c r="M63" s="11">
        <v>102500</v>
      </c>
      <c r="N63" s="11">
        <v>25000</v>
      </c>
      <c r="O63" t="s">
        <v>266</v>
      </c>
      <c r="P63" s="7"/>
      <c r="Q63" s="21"/>
      <c r="R63" s="7"/>
    </row>
    <row r="64" spans="1:18" ht="15" customHeight="1">
      <c r="A64" s="10">
        <f t="shared" si="0"/>
        <v>62</v>
      </c>
      <c r="B64" s="9" t="s">
        <v>108</v>
      </c>
      <c r="C64" s="9" t="s">
        <v>198</v>
      </c>
      <c r="D64" s="8" t="s">
        <v>1</v>
      </c>
      <c r="E64" s="13">
        <v>29906</v>
      </c>
      <c r="F64" s="7">
        <v>42824</v>
      </c>
      <c r="G64" s="11">
        <v>13556.25</v>
      </c>
      <c r="H64" s="7">
        <f t="shared" ref="H64:H65" si="10">F64</f>
        <v>42824</v>
      </c>
      <c r="I64">
        <v>100</v>
      </c>
      <c r="J64" s="11">
        <v>0</v>
      </c>
      <c r="K64" s="11">
        <v>0</v>
      </c>
      <c r="L64" s="7">
        <v>46022</v>
      </c>
      <c r="M64" s="11">
        <v>0</v>
      </c>
      <c r="O64" t="s">
        <v>266</v>
      </c>
      <c r="P64" s="7"/>
      <c r="Q64" s="21"/>
      <c r="R64" s="7"/>
    </row>
    <row r="65" spans="1:18" ht="15" customHeight="1">
      <c r="A65" s="10">
        <f t="shared" si="0"/>
        <v>63</v>
      </c>
      <c r="B65" s="9" t="s">
        <v>137</v>
      </c>
      <c r="C65" s="9" t="s">
        <v>134</v>
      </c>
      <c r="D65" s="8" t="s">
        <v>1</v>
      </c>
      <c r="E65" s="13">
        <v>29137</v>
      </c>
      <c r="F65" s="7">
        <v>42824</v>
      </c>
      <c r="G65" s="11">
        <v>12759.375</v>
      </c>
      <c r="H65" s="7">
        <f t="shared" si="10"/>
        <v>42824</v>
      </c>
      <c r="I65">
        <v>100</v>
      </c>
      <c r="J65" s="11">
        <v>0</v>
      </c>
      <c r="K65" s="11">
        <v>0</v>
      </c>
      <c r="L65" s="7">
        <v>46022</v>
      </c>
      <c r="M65" s="11">
        <v>0</v>
      </c>
      <c r="O65" t="s">
        <v>266</v>
      </c>
      <c r="P65" s="7"/>
      <c r="Q65" s="21"/>
      <c r="R65" s="7"/>
    </row>
    <row r="66" spans="1:18" ht="15" customHeight="1">
      <c r="A66" s="10">
        <f t="shared" si="0"/>
        <v>64</v>
      </c>
      <c r="B66" s="9" t="s">
        <v>39</v>
      </c>
      <c r="C66" s="9" t="s">
        <v>63</v>
      </c>
      <c r="D66" s="8" t="s">
        <v>4</v>
      </c>
      <c r="E66" s="13">
        <v>25962</v>
      </c>
      <c r="F66" s="7">
        <v>37226</v>
      </c>
      <c r="G66" s="11">
        <v>16425</v>
      </c>
      <c r="H66" s="7"/>
      <c r="I66" s="7"/>
      <c r="J66" s="11">
        <v>253597.5</v>
      </c>
      <c r="K66" s="11">
        <f t="shared" ref="K66:K67" si="11">G66</f>
        <v>16425</v>
      </c>
      <c r="L66" s="7">
        <v>45934</v>
      </c>
      <c r="M66" s="11">
        <v>0</v>
      </c>
      <c r="O66" t="s">
        <v>266</v>
      </c>
      <c r="P66" s="7"/>
      <c r="Q66" s="21"/>
      <c r="R66" s="7"/>
    </row>
    <row r="67" spans="1:18">
      <c r="A67" s="10">
        <f t="shared" si="0"/>
        <v>65</v>
      </c>
      <c r="B67" s="9" t="s">
        <v>8</v>
      </c>
      <c r="C67" s="9" t="s">
        <v>130</v>
      </c>
      <c r="D67" s="8" t="s">
        <v>1</v>
      </c>
      <c r="E67" s="13">
        <v>24670</v>
      </c>
      <c r="F67" s="7">
        <v>38415</v>
      </c>
      <c r="G67" s="11">
        <v>20728.125</v>
      </c>
      <c r="H67" s="7"/>
      <c r="I67" s="7"/>
      <c r="J67" s="11">
        <v>355036.5</v>
      </c>
      <c r="K67" s="11">
        <f t="shared" si="11"/>
        <v>20728.125</v>
      </c>
      <c r="L67" s="7">
        <v>46022</v>
      </c>
      <c r="M67" s="11">
        <v>360000</v>
      </c>
      <c r="N67" s="11">
        <v>40000</v>
      </c>
      <c r="O67" t="s">
        <v>266</v>
      </c>
      <c r="P67" s="7"/>
      <c r="Q67" s="21"/>
      <c r="R67" s="7"/>
    </row>
    <row r="68" spans="1:18" ht="15" customHeight="1">
      <c r="A68" s="10">
        <f t="shared" si="0"/>
        <v>66</v>
      </c>
      <c r="B68" s="9" t="s">
        <v>125</v>
      </c>
      <c r="C68" s="9" t="s">
        <v>199</v>
      </c>
      <c r="D68" s="8" t="s">
        <v>4</v>
      </c>
      <c r="E68" s="13">
        <v>26521</v>
      </c>
      <c r="F68" s="7">
        <v>42432</v>
      </c>
      <c r="G68" s="11">
        <v>16743.75</v>
      </c>
      <c r="H68" s="7">
        <f>F68</f>
        <v>42432</v>
      </c>
      <c r="I68">
        <v>100</v>
      </c>
      <c r="J68" s="11">
        <v>0</v>
      </c>
      <c r="K68" s="11">
        <v>0</v>
      </c>
      <c r="L68" s="7">
        <v>46022</v>
      </c>
      <c r="M68" s="11">
        <v>0</v>
      </c>
      <c r="O68" t="s">
        <v>266</v>
      </c>
      <c r="P68" s="7"/>
      <c r="Q68" s="21"/>
      <c r="R68" s="7"/>
    </row>
    <row r="69" spans="1:18" ht="15" customHeight="1">
      <c r="A69" s="10">
        <f t="shared" ref="A69:A132" si="12">A68+1</f>
        <v>67</v>
      </c>
      <c r="B69" s="9" t="s">
        <v>92</v>
      </c>
      <c r="C69" s="9" t="s">
        <v>176</v>
      </c>
      <c r="D69" s="8" t="s">
        <v>4</v>
      </c>
      <c r="E69" s="13">
        <v>26959</v>
      </c>
      <c r="F69" s="7">
        <v>39264</v>
      </c>
      <c r="G69" s="11">
        <v>6782.8125</v>
      </c>
      <c r="H69" s="7"/>
      <c r="I69" s="7"/>
      <c r="J69" s="11">
        <v>80136.81</v>
      </c>
      <c r="K69" s="11">
        <f>G69</f>
        <v>6782.8125</v>
      </c>
      <c r="L69" s="7">
        <v>46022</v>
      </c>
      <c r="M69" s="11">
        <v>0</v>
      </c>
      <c r="O69" t="s">
        <v>266</v>
      </c>
      <c r="P69" s="7"/>
      <c r="Q69" s="21"/>
      <c r="R69" s="7"/>
    </row>
    <row r="70" spans="1:18" ht="15" customHeight="1">
      <c r="A70" s="10">
        <f t="shared" si="12"/>
        <v>68</v>
      </c>
      <c r="B70" s="9" t="s">
        <v>66</v>
      </c>
      <c r="C70" s="9" t="s">
        <v>73</v>
      </c>
      <c r="D70" s="8" t="s">
        <v>1</v>
      </c>
      <c r="E70" s="13">
        <v>24055</v>
      </c>
      <c r="F70" s="7">
        <v>41884</v>
      </c>
      <c r="G70" s="11">
        <v>23437.5</v>
      </c>
      <c r="H70" s="7">
        <f>F70</f>
        <v>41884</v>
      </c>
      <c r="I70">
        <v>72</v>
      </c>
      <c r="J70" s="11">
        <v>0</v>
      </c>
      <c r="K70" s="11">
        <v>0</v>
      </c>
      <c r="L70" s="7">
        <v>46022</v>
      </c>
      <c r="M70" s="11">
        <v>0</v>
      </c>
      <c r="O70" t="s">
        <v>266</v>
      </c>
      <c r="P70" s="7"/>
      <c r="Q70" s="21"/>
      <c r="R70" s="7"/>
    </row>
    <row r="71" spans="1:18" ht="15" customHeight="1">
      <c r="A71" s="10">
        <f t="shared" si="12"/>
        <v>69</v>
      </c>
      <c r="B71" s="9" t="s">
        <v>22</v>
      </c>
      <c r="C71" s="9" t="s">
        <v>201</v>
      </c>
      <c r="D71" s="8" t="s">
        <v>4</v>
      </c>
      <c r="E71" s="13">
        <v>24175</v>
      </c>
      <c r="F71" s="7">
        <v>37865</v>
      </c>
      <c r="G71" s="11">
        <v>14289.375</v>
      </c>
      <c r="H71" s="7"/>
      <c r="I71" s="7"/>
      <c r="J71" s="11">
        <v>273885.3</v>
      </c>
      <c r="K71" s="11">
        <f>G71</f>
        <v>14289.375</v>
      </c>
      <c r="L71" s="7">
        <v>45862</v>
      </c>
      <c r="M71" s="11">
        <v>0</v>
      </c>
      <c r="O71" t="s">
        <v>266</v>
      </c>
      <c r="P71" s="7"/>
      <c r="Q71" s="21"/>
      <c r="R71" s="7"/>
    </row>
    <row r="72" spans="1:18">
      <c r="A72" s="10">
        <f t="shared" si="12"/>
        <v>70</v>
      </c>
      <c r="B72" s="9" t="s">
        <v>41</v>
      </c>
      <c r="C72" s="9" t="s">
        <v>112</v>
      </c>
      <c r="D72" s="8" t="s">
        <v>1</v>
      </c>
      <c r="E72" s="13">
        <v>24408</v>
      </c>
      <c r="F72" s="7">
        <v>42614</v>
      </c>
      <c r="G72" s="11">
        <v>13237.5</v>
      </c>
      <c r="H72" s="7">
        <f t="shared" ref="H72:H73" si="13">F72</f>
        <v>42614</v>
      </c>
      <c r="I72">
        <v>100</v>
      </c>
      <c r="J72" s="11">
        <v>0</v>
      </c>
      <c r="K72" s="11">
        <v>0</v>
      </c>
      <c r="L72" s="7">
        <v>45994</v>
      </c>
      <c r="M72" s="11">
        <v>0</v>
      </c>
      <c r="O72" t="s">
        <v>266</v>
      </c>
      <c r="P72" s="7"/>
      <c r="Q72" s="21"/>
      <c r="R72" s="7"/>
    </row>
    <row r="73" spans="1:18" ht="15" customHeight="1">
      <c r="A73" s="10">
        <f t="shared" si="12"/>
        <v>71</v>
      </c>
      <c r="B73" s="9" t="s">
        <v>27</v>
      </c>
      <c r="C73" s="9" t="s">
        <v>56</v>
      </c>
      <c r="D73" s="8" t="s">
        <v>1</v>
      </c>
      <c r="E73" s="13">
        <v>24463</v>
      </c>
      <c r="F73" s="7">
        <v>42826</v>
      </c>
      <c r="G73" s="11">
        <v>19134.375</v>
      </c>
      <c r="H73" s="7">
        <f t="shared" si="13"/>
        <v>42826</v>
      </c>
      <c r="I73">
        <v>72</v>
      </c>
      <c r="J73" s="11">
        <v>0</v>
      </c>
      <c r="K73" s="11">
        <v>0</v>
      </c>
      <c r="L73" s="7"/>
      <c r="M73" s="11">
        <v>0</v>
      </c>
      <c r="Q73" s="21"/>
      <c r="R73" s="7"/>
    </row>
    <row r="74" spans="1:18" ht="15" customHeight="1">
      <c r="A74" s="10">
        <f t="shared" si="12"/>
        <v>72</v>
      </c>
      <c r="B74" s="9" t="s">
        <v>202</v>
      </c>
      <c r="C74" s="9" t="s">
        <v>115</v>
      </c>
      <c r="D74" s="8" t="s">
        <v>4</v>
      </c>
      <c r="E74" s="13">
        <v>25426</v>
      </c>
      <c r="F74" s="7">
        <v>38078</v>
      </c>
      <c r="G74" s="11">
        <v>26625</v>
      </c>
      <c r="H74" s="7"/>
      <c r="I74" s="7"/>
      <c r="J74" s="11">
        <v>507195</v>
      </c>
      <c r="K74" s="11">
        <f>G74</f>
        <v>26625</v>
      </c>
      <c r="L74" s="7"/>
      <c r="M74" s="11">
        <v>0</v>
      </c>
      <c r="Q74" s="21"/>
      <c r="R74" s="7"/>
    </row>
    <row r="75" spans="1:18" ht="15" customHeight="1">
      <c r="A75" s="10">
        <f t="shared" si="12"/>
        <v>73</v>
      </c>
      <c r="B75" s="9" t="s">
        <v>204</v>
      </c>
      <c r="C75" s="9" t="s">
        <v>203</v>
      </c>
      <c r="D75" s="8" t="s">
        <v>4</v>
      </c>
      <c r="E75" s="13">
        <v>25525</v>
      </c>
      <c r="F75" s="7">
        <v>36877</v>
      </c>
      <c r="G75" s="11">
        <v>11325</v>
      </c>
      <c r="H75" s="7">
        <v>41638</v>
      </c>
      <c r="I75">
        <v>100</v>
      </c>
      <c r="J75" s="11">
        <v>180000</v>
      </c>
      <c r="K75" s="11">
        <v>0</v>
      </c>
      <c r="L75" s="7"/>
      <c r="M75" s="11">
        <v>0</v>
      </c>
      <c r="Q75" s="21"/>
      <c r="R75" s="7"/>
    </row>
    <row r="76" spans="1:18" ht="15" customHeight="1">
      <c r="A76" s="10">
        <f t="shared" si="12"/>
        <v>74</v>
      </c>
      <c r="B76" s="9" t="s">
        <v>44</v>
      </c>
      <c r="C76" s="9" t="s">
        <v>205</v>
      </c>
      <c r="D76" s="8" t="s">
        <v>4</v>
      </c>
      <c r="E76" s="13">
        <v>25491</v>
      </c>
      <c r="F76" s="7">
        <v>38419</v>
      </c>
      <c r="G76" s="11">
        <v>13326.75</v>
      </c>
      <c r="H76" s="7"/>
      <c r="I76" s="7"/>
      <c r="J76" s="11">
        <v>253597.5</v>
      </c>
      <c r="K76" s="11">
        <f t="shared" ref="K76:K78" si="14">G76</f>
        <v>13326.75</v>
      </c>
      <c r="L76" s="7"/>
      <c r="M76" s="11">
        <v>0</v>
      </c>
      <c r="Q76" s="21"/>
      <c r="R76" s="7"/>
    </row>
    <row r="77" spans="1:18" ht="15" customHeight="1">
      <c r="A77" s="10">
        <f t="shared" si="12"/>
        <v>75</v>
      </c>
      <c r="B77" s="9" t="s">
        <v>78</v>
      </c>
      <c r="C77" s="9" t="s">
        <v>87</v>
      </c>
      <c r="D77" s="8" t="s">
        <v>4</v>
      </c>
      <c r="E77" s="13">
        <v>25737</v>
      </c>
      <c r="F77" s="7">
        <v>38822</v>
      </c>
      <c r="G77" s="11">
        <v>12456.5625</v>
      </c>
      <c r="H77" s="7"/>
      <c r="I77" s="7"/>
      <c r="J77" s="11">
        <v>202878</v>
      </c>
      <c r="K77" s="11">
        <f t="shared" si="14"/>
        <v>12456.5625</v>
      </c>
      <c r="L77" s="7"/>
      <c r="M77" s="11">
        <v>0</v>
      </c>
      <c r="Q77" s="21"/>
      <c r="R77" s="7"/>
    </row>
    <row r="78" spans="1:18" ht="15" customHeight="1">
      <c r="A78" s="10">
        <f t="shared" si="12"/>
        <v>76</v>
      </c>
      <c r="B78" s="9" t="s">
        <v>80</v>
      </c>
      <c r="C78" s="9" t="s">
        <v>206</v>
      </c>
      <c r="D78" s="8" t="s">
        <v>1</v>
      </c>
      <c r="E78" s="13">
        <v>26142</v>
      </c>
      <c r="F78" s="7">
        <v>39090</v>
      </c>
      <c r="G78" s="11">
        <v>14895</v>
      </c>
      <c r="H78" s="7"/>
      <c r="I78" s="7"/>
      <c r="J78" s="11">
        <v>223165.8</v>
      </c>
      <c r="K78" s="11">
        <f t="shared" si="14"/>
        <v>14895</v>
      </c>
      <c r="L78" s="7"/>
      <c r="M78" s="11">
        <v>0</v>
      </c>
      <c r="Q78" s="21"/>
      <c r="R78" s="7"/>
    </row>
    <row r="79" spans="1:18" ht="15" customHeight="1">
      <c r="A79" s="10">
        <f t="shared" si="12"/>
        <v>77</v>
      </c>
      <c r="B79" s="9" t="s">
        <v>42</v>
      </c>
      <c r="C79" s="9" t="s">
        <v>207</v>
      </c>
      <c r="D79" s="8" t="s">
        <v>4</v>
      </c>
      <c r="E79" s="13">
        <v>26019</v>
      </c>
      <c r="F79" s="7">
        <v>41971</v>
      </c>
      <c r="G79" s="11">
        <v>12026.25</v>
      </c>
      <c r="H79" s="7">
        <f t="shared" ref="H79:H82" si="15">F79</f>
        <v>41971</v>
      </c>
      <c r="I79">
        <v>100</v>
      </c>
      <c r="J79" s="11">
        <v>0</v>
      </c>
      <c r="K79" s="11">
        <v>0</v>
      </c>
      <c r="L79" s="7"/>
      <c r="M79" s="11">
        <v>0</v>
      </c>
      <c r="Q79" s="21"/>
      <c r="R79" s="7"/>
    </row>
    <row r="80" spans="1:18">
      <c r="A80" s="10">
        <f t="shared" si="12"/>
        <v>78</v>
      </c>
      <c r="B80" s="9" t="s">
        <v>138</v>
      </c>
      <c r="C80" s="9" t="s">
        <v>208</v>
      </c>
      <c r="D80" s="8" t="s">
        <v>4</v>
      </c>
      <c r="E80" s="13">
        <v>24790</v>
      </c>
      <c r="F80" s="7">
        <v>42624</v>
      </c>
      <c r="G80" s="11">
        <v>14831.25</v>
      </c>
      <c r="H80" s="7">
        <f t="shared" si="15"/>
        <v>42624</v>
      </c>
      <c r="I80">
        <v>100</v>
      </c>
      <c r="J80" s="11">
        <v>0</v>
      </c>
      <c r="K80" s="11">
        <v>0</v>
      </c>
      <c r="L80" s="7">
        <v>45994</v>
      </c>
      <c r="M80" s="11">
        <v>0</v>
      </c>
      <c r="O80" t="s">
        <v>265</v>
      </c>
      <c r="P80" s="7"/>
      <c r="Q80" s="21"/>
      <c r="R80" s="7"/>
    </row>
    <row r="81" spans="1:18" ht="15" customHeight="1">
      <c r="A81" s="10">
        <f t="shared" si="12"/>
        <v>79</v>
      </c>
      <c r="B81" s="9" t="s">
        <v>209</v>
      </c>
      <c r="C81" s="9" t="s">
        <v>67</v>
      </c>
      <c r="D81" s="8" t="s">
        <v>4</v>
      </c>
      <c r="E81" s="13">
        <v>24780</v>
      </c>
      <c r="F81" s="7">
        <v>42840</v>
      </c>
      <c r="G81" s="11">
        <v>9731.25</v>
      </c>
      <c r="H81" s="7">
        <f t="shared" si="15"/>
        <v>42840</v>
      </c>
      <c r="I81">
        <v>72</v>
      </c>
      <c r="J81" s="11">
        <v>0</v>
      </c>
      <c r="K81" s="11">
        <v>0</v>
      </c>
      <c r="L81" s="7"/>
      <c r="M81" s="11">
        <v>0</v>
      </c>
      <c r="Q81" s="21"/>
      <c r="R81" s="7"/>
    </row>
    <row r="82" spans="1:18" ht="15" customHeight="1">
      <c r="A82" s="10">
        <f t="shared" si="12"/>
        <v>80</v>
      </c>
      <c r="B82" s="9" t="s">
        <v>84</v>
      </c>
      <c r="C82" s="9" t="s">
        <v>57</v>
      </c>
      <c r="D82" s="8" t="s">
        <v>4</v>
      </c>
      <c r="E82" s="13">
        <v>25021</v>
      </c>
      <c r="F82" s="7">
        <v>42702</v>
      </c>
      <c r="G82" s="11">
        <v>17381.25</v>
      </c>
      <c r="H82" s="7">
        <f t="shared" si="15"/>
        <v>42702</v>
      </c>
      <c r="I82">
        <v>100</v>
      </c>
      <c r="J82" s="11">
        <v>0</v>
      </c>
      <c r="K82" s="11">
        <v>0</v>
      </c>
      <c r="L82" s="7"/>
      <c r="M82" s="11">
        <v>0</v>
      </c>
      <c r="Q82" s="21"/>
      <c r="R82" s="7"/>
    </row>
    <row r="83" spans="1:18" ht="15" customHeight="1">
      <c r="A83" s="10">
        <f t="shared" si="12"/>
        <v>81</v>
      </c>
      <c r="B83" s="9" t="s">
        <v>28</v>
      </c>
      <c r="C83" s="9" t="s">
        <v>210</v>
      </c>
      <c r="D83" s="8" t="s">
        <v>4</v>
      </c>
      <c r="E83" s="13">
        <v>26226</v>
      </c>
      <c r="F83" s="7">
        <v>38187</v>
      </c>
      <c r="G83" s="11">
        <v>11730.609375</v>
      </c>
      <c r="H83" s="7">
        <v>42888</v>
      </c>
      <c r="I83">
        <v>72</v>
      </c>
      <c r="J83" s="11">
        <v>270000</v>
      </c>
      <c r="K83" s="11">
        <v>0</v>
      </c>
      <c r="L83" s="7"/>
      <c r="M83" s="11">
        <v>0</v>
      </c>
      <c r="Q83" s="21"/>
      <c r="R83" s="7"/>
    </row>
    <row r="84" spans="1:18" ht="15" customHeight="1">
      <c r="A84" s="10">
        <f t="shared" si="12"/>
        <v>82</v>
      </c>
      <c r="B84" s="9" t="s">
        <v>11</v>
      </c>
      <c r="C84" s="9" t="s">
        <v>45</v>
      </c>
      <c r="D84" s="8" t="s">
        <v>4</v>
      </c>
      <c r="E84" s="13">
        <v>26160</v>
      </c>
      <c r="F84" s="7">
        <v>42234</v>
      </c>
      <c r="G84" s="11">
        <v>16743.75</v>
      </c>
      <c r="H84" s="7">
        <f>F84</f>
        <v>42234</v>
      </c>
      <c r="I84">
        <v>100</v>
      </c>
      <c r="J84" s="11">
        <v>0</v>
      </c>
      <c r="K84" s="11">
        <v>0</v>
      </c>
      <c r="L84" s="7"/>
      <c r="M84" s="11">
        <v>0</v>
      </c>
      <c r="Q84" s="21"/>
      <c r="R84" s="7"/>
    </row>
    <row r="85" spans="1:18">
      <c r="A85" s="10">
        <f t="shared" si="12"/>
        <v>83</v>
      </c>
      <c r="B85" s="9" t="s">
        <v>0</v>
      </c>
      <c r="C85" s="9" t="s">
        <v>14</v>
      </c>
      <c r="D85" s="8" t="s">
        <v>4</v>
      </c>
      <c r="E85" s="13">
        <v>27565</v>
      </c>
      <c r="F85" s="7">
        <v>40454</v>
      </c>
      <c r="G85" s="11">
        <v>10966.40625</v>
      </c>
      <c r="H85" s="7">
        <v>42975</v>
      </c>
      <c r="I85">
        <v>100</v>
      </c>
      <c r="J85" s="11">
        <v>180000</v>
      </c>
      <c r="K85" s="11">
        <v>0</v>
      </c>
      <c r="L85" s="7">
        <v>45904</v>
      </c>
      <c r="M85" s="11">
        <v>180000</v>
      </c>
      <c r="O85" t="s">
        <v>265</v>
      </c>
      <c r="P85" s="7"/>
      <c r="Q85" s="21"/>
      <c r="R85" s="7"/>
    </row>
    <row r="86" spans="1:18" ht="15" customHeight="1">
      <c r="A86" s="10">
        <f t="shared" si="12"/>
        <v>84</v>
      </c>
      <c r="B86" s="9" t="s">
        <v>129</v>
      </c>
      <c r="C86" s="9" t="s">
        <v>211</v>
      </c>
      <c r="D86" s="8" t="s">
        <v>1</v>
      </c>
      <c r="E86" s="13">
        <v>26787</v>
      </c>
      <c r="F86" s="7">
        <v>42306</v>
      </c>
      <c r="G86" s="11">
        <v>16106.25</v>
      </c>
      <c r="H86" s="7">
        <f>F86</f>
        <v>42306</v>
      </c>
      <c r="I86">
        <v>100</v>
      </c>
      <c r="J86" s="11">
        <v>0</v>
      </c>
      <c r="K86" s="11">
        <v>0</v>
      </c>
      <c r="L86" s="7"/>
      <c r="M86" s="11">
        <v>0</v>
      </c>
      <c r="Q86" s="21"/>
      <c r="R86" s="7"/>
    </row>
    <row r="87" spans="1:18" ht="15" customHeight="1">
      <c r="A87" s="10">
        <f t="shared" si="12"/>
        <v>85</v>
      </c>
      <c r="B87" s="9" t="s">
        <v>111</v>
      </c>
      <c r="C87" s="9" t="s">
        <v>212</v>
      </c>
      <c r="D87" s="8" t="s">
        <v>4</v>
      </c>
      <c r="E87" s="13">
        <v>27145</v>
      </c>
      <c r="F87" s="7">
        <v>39522</v>
      </c>
      <c r="G87" s="11">
        <v>7181.25</v>
      </c>
      <c r="H87" s="7">
        <v>41061</v>
      </c>
      <c r="I87">
        <v>72</v>
      </c>
      <c r="J87" s="11">
        <v>36000</v>
      </c>
      <c r="K87" s="11">
        <v>0</v>
      </c>
      <c r="L87" s="7"/>
      <c r="M87" s="11">
        <v>0</v>
      </c>
      <c r="Q87" s="21"/>
      <c r="R87" s="7"/>
    </row>
    <row r="88" spans="1:18" ht="15" customHeight="1">
      <c r="A88" s="10">
        <f t="shared" si="12"/>
        <v>86</v>
      </c>
      <c r="B88" s="9" t="s">
        <v>35</v>
      </c>
      <c r="C88" s="9" t="s">
        <v>213</v>
      </c>
      <c r="D88" s="8" t="s">
        <v>4</v>
      </c>
      <c r="E88" s="13">
        <v>27330</v>
      </c>
      <c r="F88" s="7">
        <v>40187</v>
      </c>
      <c r="G88" s="11">
        <v>12867.75</v>
      </c>
      <c r="H88" s="7">
        <f t="shared" ref="H88:H90" si="16">F88</f>
        <v>40187</v>
      </c>
      <c r="I88">
        <v>100</v>
      </c>
      <c r="J88" s="11">
        <v>0</v>
      </c>
      <c r="K88" s="11">
        <v>0</v>
      </c>
      <c r="L88" s="7"/>
      <c r="M88" s="11">
        <v>0</v>
      </c>
      <c r="Q88" s="21"/>
      <c r="R88" s="7"/>
    </row>
    <row r="89" spans="1:18" ht="15" customHeight="1">
      <c r="A89" s="10">
        <f t="shared" si="12"/>
        <v>87</v>
      </c>
      <c r="B89" s="9" t="s">
        <v>36</v>
      </c>
      <c r="C89" s="9" t="s">
        <v>77</v>
      </c>
      <c r="D89" s="8" t="s">
        <v>1</v>
      </c>
      <c r="E89" s="13">
        <v>27456</v>
      </c>
      <c r="F89" s="7">
        <v>40522</v>
      </c>
      <c r="G89" s="11">
        <v>17540.625</v>
      </c>
      <c r="H89" s="7">
        <f t="shared" si="16"/>
        <v>40522</v>
      </c>
      <c r="I89">
        <v>50</v>
      </c>
      <c r="J89" s="11">
        <v>0</v>
      </c>
      <c r="K89" s="11">
        <v>0</v>
      </c>
      <c r="L89" s="7"/>
      <c r="M89" s="11">
        <v>0</v>
      </c>
      <c r="Q89" s="21"/>
      <c r="R89" s="7"/>
    </row>
    <row r="90" spans="1:18" ht="15" customHeight="1">
      <c r="A90" s="10">
        <f t="shared" si="12"/>
        <v>88</v>
      </c>
      <c r="B90" s="9" t="s">
        <v>32</v>
      </c>
      <c r="C90" s="9" t="s">
        <v>214</v>
      </c>
      <c r="D90" s="8" t="s">
        <v>4</v>
      </c>
      <c r="E90" s="13">
        <v>27774</v>
      </c>
      <c r="F90" s="7">
        <v>42200</v>
      </c>
      <c r="G90" s="11">
        <v>15150</v>
      </c>
      <c r="H90" s="7">
        <f t="shared" si="16"/>
        <v>42200</v>
      </c>
      <c r="I90">
        <v>50</v>
      </c>
      <c r="J90" s="11">
        <v>0</v>
      </c>
      <c r="K90" s="11">
        <v>0</v>
      </c>
      <c r="L90" s="7"/>
      <c r="M90" s="11">
        <v>0</v>
      </c>
      <c r="Q90" s="21"/>
      <c r="R90" s="7"/>
    </row>
    <row r="91" spans="1:18">
      <c r="A91" s="10">
        <f t="shared" si="12"/>
        <v>89</v>
      </c>
      <c r="B91" s="9" t="s">
        <v>20</v>
      </c>
      <c r="C91" s="9" t="s">
        <v>215</v>
      </c>
      <c r="D91" s="8" t="s">
        <v>1</v>
      </c>
      <c r="E91" s="13">
        <v>27695</v>
      </c>
      <c r="F91" s="7">
        <v>38400</v>
      </c>
      <c r="G91" s="11">
        <v>23118.75</v>
      </c>
      <c r="H91" s="7"/>
      <c r="I91" s="7"/>
      <c r="J91" s="11">
        <v>355036.5</v>
      </c>
      <c r="K91" s="11">
        <f>G91</f>
        <v>23118.75</v>
      </c>
      <c r="L91" s="7">
        <v>45844</v>
      </c>
      <c r="M91" s="11">
        <v>360000</v>
      </c>
      <c r="O91" t="s">
        <v>265</v>
      </c>
      <c r="P91" s="7"/>
      <c r="Q91" s="21"/>
      <c r="R91" s="7"/>
    </row>
    <row r="92" spans="1:18" ht="15" customHeight="1">
      <c r="A92" s="10">
        <f t="shared" si="12"/>
        <v>90</v>
      </c>
      <c r="B92" s="9" t="s">
        <v>7</v>
      </c>
      <c r="C92" s="9" t="s">
        <v>90</v>
      </c>
      <c r="D92" s="8" t="s">
        <v>4</v>
      </c>
      <c r="E92" s="13">
        <v>29820</v>
      </c>
      <c r="F92" s="7">
        <v>40955</v>
      </c>
      <c r="G92" s="11">
        <v>15468.75</v>
      </c>
      <c r="H92" s="7">
        <v>42704</v>
      </c>
      <c r="I92">
        <v>100</v>
      </c>
      <c r="J92" s="11">
        <v>84000</v>
      </c>
      <c r="K92" s="11">
        <v>0</v>
      </c>
      <c r="L92" s="7"/>
      <c r="M92" s="11">
        <v>0</v>
      </c>
      <c r="Q92" s="21"/>
      <c r="R92" s="7"/>
    </row>
    <row r="93" spans="1:18" ht="15" customHeight="1">
      <c r="A93" s="10">
        <f t="shared" si="12"/>
        <v>91</v>
      </c>
      <c r="B93" s="9" t="s">
        <v>38</v>
      </c>
      <c r="C93" s="9" t="s">
        <v>71</v>
      </c>
      <c r="D93" s="8" t="s">
        <v>4</v>
      </c>
      <c r="E93" s="13">
        <v>29941</v>
      </c>
      <c r="F93" s="7">
        <v>40406</v>
      </c>
      <c r="G93" s="11">
        <v>8073.75</v>
      </c>
      <c r="H93" s="7"/>
      <c r="I93" s="7"/>
      <c r="J93" s="11">
        <v>71007.3</v>
      </c>
      <c r="K93" s="11">
        <f>G93</f>
        <v>8073.75</v>
      </c>
      <c r="L93" s="7"/>
      <c r="M93" s="11">
        <v>0</v>
      </c>
      <c r="Q93" s="21"/>
      <c r="R93" s="7"/>
    </row>
    <row r="94" spans="1:18" ht="15" customHeight="1">
      <c r="A94" s="10">
        <f t="shared" si="12"/>
        <v>92</v>
      </c>
      <c r="B94" s="9" t="s">
        <v>65</v>
      </c>
      <c r="C94" s="9" t="s">
        <v>246</v>
      </c>
      <c r="D94" s="8" t="s">
        <v>1</v>
      </c>
      <c r="E94" s="13">
        <v>26462</v>
      </c>
      <c r="F94" s="7">
        <v>42572</v>
      </c>
      <c r="G94" s="11">
        <v>7715.15625</v>
      </c>
      <c r="H94" s="7">
        <f t="shared" ref="H94:H95" si="17">F94</f>
        <v>42572</v>
      </c>
      <c r="I94">
        <v>100</v>
      </c>
      <c r="J94" s="11">
        <v>0</v>
      </c>
      <c r="K94" s="11">
        <v>0</v>
      </c>
      <c r="L94" s="7"/>
      <c r="M94" s="11">
        <v>0</v>
      </c>
      <c r="Q94" s="21"/>
      <c r="R94" s="7"/>
    </row>
    <row r="95" spans="1:18" ht="15" customHeight="1">
      <c r="A95" s="10">
        <f t="shared" si="12"/>
        <v>93</v>
      </c>
      <c r="B95" s="9" t="s">
        <v>39</v>
      </c>
      <c r="C95" s="9" t="s">
        <v>120</v>
      </c>
      <c r="D95" s="8" t="s">
        <v>4</v>
      </c>
      <c r="E95" s="13">
        <v>26575</v>
      </c>
      <c r="F95" s="7">
        <v>42399</v>
      </c>
      <c r="G95" s="11">
        <v>6642.8012278125007</v>
      </c>
      <c r="H95" s="7">
        <f t="shared" si="17"/>
        <v>42399</v>
      </c>
      <c r="I95">
        <v>100</v>
      </c>
      <c r="J95" s="11">
        <v>0</v>
      </c>
      <c r="K95" s="11">
        <v>0</v>
      </c>
      <c r="L95" s="7"/>
      <c r="M95" s="11">
        <v>0</v>
      </c>
      <c r="Q95" s="21"/>
      <c r="R95" s="7"/>
    </row>
    <row r="96" spans="1:18" ht="15" customHeight="1">
      <c r="A96" s="10">
        <f t="shared" si="12"/>
        <v>94</v>
      </c>
      <c r="B96" s="9" t="s">
        <v>13</v>
      </c>
      <c r="C96" s="9" t="s">
        <v>85</v>
      </c>
      <c r="D96" s="8" t="s">
        <v>4</v>
      </c>
      <c r="E96" s="13">
        <v>26731</v>
      </c>
      <c r="F96" s="7">
        <v>38930</v>
      </c>
      <c r="G96" s="11">
        <v>8775</v>
      </c>
      <c r="H96" s="7"/>
      <c r="I96" s="7"/>
      <c r="J96" s="11">
        <v>202878</v>
      </c>
      <c r="K96" s="11">
        <f>G96</f>
        <v>8775</v>
      </c>
      <c r="L96" s="7"/>
      <c r="M96" s="11">
        <v>0</v>
      </c>
      <c r="Q96" s="21"/>
      <c r="R96" s="7"/>
    </row>
    <row r="97" spans="1:18" ht="15" customHeight="1">
      <c r="A97" s="10">
        <f t="shared" si="12"/>
        <v>95</v>
      </c>
      <c r="B97" s="9" t="s">
        <v>29</v>
      </c>
      <c r="C97" s="9" t="s">
        <v>101</v>
      </c>
      <c r="D97" s="8" t="s">
        <v>4</v>
      </c>
      <c r="E97" s="13">
        <v>29385</v>
      </c>
      <c r="F97" s="7">
        <v>42676</v>
      </c>
      <c r="G97" s="11">
        <v>10050</v>
      </c>
      <c r="H97" s="7">
        <f t="shared" ref="H97:H99" si="18">F97</f>
        <v>42676</v>
      </c>
      <c r="I97">
        <v>100</v>
      </c>
      <c r="J97" s="11">
        <v>0</v>
      </c>
      <c r="K97" s="11">
        <v>0</v>
      </c>
      <c r="L97" s="7"/>
      <c r="M97" s="11">
        <v>0</v>
      </c>
      <c r="Q97" s="21"/>
      <c r="R97" s="7"/>
    </row>
    <row r="98" spans="1:18" ht="15" customHeight="1">
      <c r="A98" s="10">
        <f t="shared" si="12"/>
        <v>96</v>
      </c>
      <c r="B98" s="9" t="s">
        <v>131</v>
      </c>
      <c r="C98" s="9" t="s">
        <v>247</v>
      </c>
      <c r="D98" s="8" t="s">
        <v>1</v>
      </c>
      <c r="E98" s="13">
        <v>29565</v>
      </c>
      <c r="F98" s="7">
        <v>42610</v>
      </c>
      <c r="G98" s="11">
        <v>13556.25</v>
      </c>
      <c r="H98" s="7">
        <f t="shared" si="18"/>
        <v>42610</v>
      </c>
      <c r="I98">
        <v>50</v>
      </c>
      <c r="J98" s="11">
        <v>0</v>
      </c>
      <c r="K98" s="11">
        <v>0</v>
      </c>
      <c r="L98" s="7"/>
      <c r="M98" s="11">
        <v>0</v>
      </c>
      <c r="Q98" s="21"/>
      <c r="R98" s="7"/>
    </row>
    <row r="99" spans="1:18" ht="15" customHeight="1">
      <c r="A99" s="10">
        <f t="shared" si="12"/>
        <v>97</v>
      </c>
      <c r="B99" s="9" t="s">
        <v>41</v>
      </c>
      <c r="C99" s="9" t="s">
        <v>91</v>
      </c>
      <c r="D99" s="8" t="s">
        <v>1</v>
      </c>
      <c r="E99" s="13">
        <v>29428</v>
      </c>
      <c r="F99" s="7">
        <v>42573</v>
      </c>
      <c r="G99" s="11">
        <v>10560</v>
      </c>
      <c r="H99" s="7">
        <f t="shared" si="18"/>
        <v>42573</v>
      </c>
      <c r="I99">
        <v>50</v>
      </c>
      <c r="J99" s="11">
        <v>0</v>
      </c>
      <c r="K99" s="11">
        <v>0</v>
      </c>
      <c r="L99" s="7"/>
      <c r="M99" s="11">
        <v>0</v>
      </c>
      <c r="Q99" s="21"/>
      <c r="R99" s="7"/>
    </row>
    <row r="100" spans="1:18" ht="15" customHeight="1">
      <c r="A100" s="10">
        <f t="shared" si="12"/>
        <v>98</v>
      </c>
      <c r="B100" s="9" t="s">
        <v>22</v>
      </c>
      <c r="C100" s="9" t="s">
        <v>67</v>
      </c>
      <c r="D100" s="8" t="s">
        <v>4</v>
      </c>
      <c r="E100" s="13">
        <v>28712</v>
      </c>
      <c r="F100" s="7">
        <v>39104</v>
      </c>
      <c r="G100" s="11">
        <v>13989.75</v>
      </c>
      <c r="H100" s="7"/>
      <c r="I100" s="7"/>
      <c r="J100" s="11">
        <v>71007.3</v>
      </c>
      <c r="K100" s="11">
        <f t="shared" ref="K100:K101" si="19">G100</f>
        <v>13989.75</v>
      </c>
      <c r="L100" s="7"/>
      <c r="M100" s="11">
        <v>0</v>
      </c>
      <c r="Q100" s="21"/>
      <c r="R100" s="7"/>
    </row>
    <row r="101" spans="1:18" ht="15" customHeight="1">
      <c r="A101" s="10">
        <f t="shared" si="12"/>
        <v>99</v>
      </c>
      <c r="B101" s="9" t="s">
        <v>248</v>
      </c>
      <c r="C101" s="9" t="s">
        <v>216</v>
      </c>
      <c r="D101" s="8" t="s">
        <v>4</v>
      </c>
      <c r="E101" s="13">
        <v>25661</v>
      </c>
      <c r="F101" s="7">
        <v>38611</v>
      </c>
      <c r="G101" s="11">
        <v>16791.5625</v>
      </c>
      <c r="H101" s="7"/>
      <c r="I101" s="7"/>
      <c r="J101" s="11">
        <v>304317</v>
      </c>
      <c r="K101" s="11">
        <f t="shared" si="19"/>
        <v>16791.5625</v>
      </c>
      <c r="L101" s="7"/>
      <c r="M101" s="11">
        <v>0</v>
      </c>
      <c r="Q101" s="21"/>
      <c r="R101" s="7"/>
    </row>
    <row r="102" spans="1:18" ht="15" customHeight="1">
      <c r="A102" s="10">
        <f t="shared" si="12"/>
        <v>100</v>
      </c>
      <c r="B102" s="9" t="s">
        <v>102</v>
      </c>
      <c r="C102" s="9" t="s">
        <v>217</v>
      </c>
      <c r="D102" s="8" t="s">
        <v>1</v>
      </c>
      <c r="E102" s="13">
        <v>25609</v>
      </c>
      <c r="F102" s="7">
        <v>42747</v>
      </c>
      <c r="G102" s="11">
        <v>26625</v>
      </c>
      <c r="H102" s="7">
        <f>F102</f>
        <v>42747</v>
      </c>
      <c r="I102">
        <v>100</v>
      </c>
      <c r="J102" s="11">
        <v>0</v>
      </c>
      <c r="K102" s="11">
        <v>0</v>
      </c>
      <c r="L102" s="7"/>
      <c r="M102" s="11">
        <v>0</v>
      </c>
      <c r="Q102" s="21"/>
      <c r="R102" s="7"/>
    </row>
    <row r="103" spans="1:18" ht="15" customHeight="1">
      <c r="A103" s="10">
        <f t="shared" si="12"/>
        <v>101</v>
      </c>
      <c r="B103" s="9" t="s">
        <v>133</v>
      </c>
      <c r="C103" s="9" t="s">
        <v>218</v>
      </c>
      <c r="D103" s="8" t="s">
        <v>4</v>
      </c>
      <c r="E103" s="13">
        <v>29011</v>
      </c>
      <c r="F103" s="7">
        <v>39179</v>
      </c>
      <c r="G103" s="11">
        <v>18735.9375</v>
      </c>
      <c r="H103" s="7">
        <v>41759</v>
      </c>
      <c r="I103">
        <v>100</v>
      </c>
      <c r="J103" s="11">
        <v>240000</v>
      </c>
      <c r="K103" s="11">
        <v>0</v>
      </c>
      <c r="L103" s="7"/>
      <c r="M103" s="11">
        <v>0</v>
      </c>
      <c r="Q103" s="21"/>
      <c r="R103" s="7"/>
    </row>
    <row r="104" spans="1:18" ht="15" customHeight="1">
      <c r="A104" s="10">
        <f t="shared" si="12"/>
        <v>102</v>
      </c>
      <c r="B104" s="9" t="s">
        <v>249</v>
      </c>
      <c r="C104" s="9" t="s">
        <v>219</v>
      </c>
      <c r="D104" s="8" t="s">
        <v>1</v>
      </c>
      <c r="E104" s="13">
        <v>30703</v>
      </c>
      <c r="F104" s="7">
        <v>42797</v>
      </c>
      <c r="G104" s="11">
        <v>12918.75</v>
      </c>
      <c r="H104" s="7">
        <f t="shared" ref="H104:H112" si="20">F104</f>
        <v>42797</v>
      </c>
      <c r="I104">
        <v>50</v>
      </c>
      <c r="J104" s="11">
        <v>0</v>
      </c>
      <c r="K104" s="11">
        <v>0</v>
      </c>
      <c r="L104" s="7"/>
      <c r="M104" s="11">
        <v>0</v>
      </c>
      <c r="Q104" s="21"/>
      <c r="R104" s="7"/>
    </row>
    <row r="105" spans="1:18" ht="15" customHeight="1">
      <c r="A105" s="10">
        <f t="shared" si="12"/>
        <v>103</v>
      </c>
      <c r="B105" s="9" t="s">
        <v>3</v>
      </c>
      <c r="C105" s="9" t="s">
        <v>220</v>
      </c>
      <c r="D105" s="8" t="s">
        <v>1</v>
      </c>
      <c r="E105" s="13">
        <v>31165</v>
      </c>
      <c r="F105" s="7">
        <v>42811</v>
      </c>
      <c r="G105" s="11">
        <v>16225.78125</v>
      </c>
      <c r="H105" s="7">
        <f t="shared" si="20"/>
        <v>42811</v>
      </c>
      <c r="I105">
        <v>50</v>
      </c>
      <c r="J105" s="11">
        <v>0</v>
      </c>
      <c r="K105" s="11">
        <v>0</v>
      </c>
      <c r="L105" s="7"/>
      <c r="M105" s="11">
        <v>0</v>
      </c>
      <c r="Q105" s="21"/>
      <c r="R105" s="7"/>
    </row>
    <row r="106" spans="1:18" ht="15" customHeight="1">
      <c r="A106" s="10">
        <f t="shared" si="12"/>
        <v>104</v>
      </c>
      <c r="B106" s="9" t="s">
        <v>7</v>
      </c>
      <c r="C106" s="9" t="s">
        <v>221</v>
      </c>
      <c r="D106" s="8" t="s">
        <v>1</v>
      </c>
      <c r="E106" s="13">
        <v>31490</v>
      </c>
      <c r="F106" s="7">
        <v>42885</v>
      </c>
      <c r="G106" s="11">
        <v>8456.25</v>
      </c>
      <c r="H106" s="7">
        <f t="shared" si="20"/>
        <v>42885</v>
      </c>
      <c r="I106">
        <v>100</v>
      </c>
      <c r="J106" s="11">
        <v>0</v>
      </c>
      <c r="K106" s="11">
        <v>0</v>
      </c>
      <c r="L106" s="7"/>
      <c r="M106" s="11">
        <v>0</v>
      </c>
      <c r="Q106" s="21"/>
      <c r="R106" s="7"/>
    </row>
    <row r="107" spans="1:18" ht="15" customHeight="1">
      <c r="A107" s="10">
        <f t="shared" si="12"/>
        <v>105</v>
      </c>
      <c r="B107" s="9" t="s">
        <v>12</v>
      </c>
      <c r="C107" s="9" t="s">
        <v>100</v>
      </c>
      <c r="D107" s="8" t="s">
        <v>1</v>
      </c>
      <c r="E107" s="13">
        <v>31376</v>
      </c>
      <c r="F107" s="7">
        <v>42649</v>
      </c>
      <c r="G107" s="11">
        <v>9950.390625</v>
      </c>
      <c r="H107" s="7">
        <f t="shared" si="20"/>
        <v>42649</v>
      </c>
      <c r="I107">
        <v>100</v>
      </c>
      <c r="J107" s="11">
        <v>0</v>
      </c>
      <c r="K107" s="11">
        <v>0</v>
      </c>
      <c r="L107" s="7"/>
      <c r="M107" s="11">
        <v>0</v>
      </c>
      <c r="Q107" s="21"/>
      <c r="R107" s="7"/>
    </row>
    <row r="108" spans="1:18" ht="15" customHeight="1">
      <c r="A108" s="10">
        <f t="shared" si="12"/>
        <v>106</v>
      </c>
      <c r="B108" s="9" t="s">
        <v>95</v>
      </c>
      <c r="C108" s="9" t="s">
        <v>222</v>
      </c>
      <c r="D108" s="8" t="s">
        <v>4</v>
      </c>
      <c r="E108" s="13">
        <v>31400</v>
      </c>
      <c r="F108" s="7">
        <v>42675</v>
      </c>
      <c r="G108" s="11">
        <v>13556.25</v>
      </c>
      <c r="H108" s="7">
        <f t="shared" si="20"/>
        <v>42675</v>
      </c>
      <c r="I108">
        <v>50</v>
      </c>
      <c r="J108" s="11">
        <v>0</v>
      </c>
      <c r="K108" s="11">
        <v>0</v>
      </c>
      <c r="L108" s="7"/>
      <c r="M108" s="11">
        <v>0</v>
      </c>
      <c r="Q108" s="21"/>
      <c r="R108" s="7"/>
    </row>
    <row r="109" spans="1:18" ht="15" customHeight="1">
      <c r="A109" s="10">
        <f t="shared" si="12"/>
        <v>107</v>
      </c>
      <c r="B109" s="9" t="s">
        <v>157</v>
      </c>
      <c r="C109" s="9" t="s">
        <v>98</v>
      </c>
      <c r="D109" s="8" t="s">
        <v>1</v>
      </c>
      <c r="E109" s="13">
        <v>33341</v>
      </c>
      <c r="F109" s="7">
        <v>42566</v>
      </c>
      <c r="G109" s="11">
        <v>15150</v>
      </c>
      <c r="H109" s="7">
        <f t="shared" si="20"/>
        <v>42566</v>
      </c>
      <c r="I109">
        <v>50</v>
      </c>
      <c r="J109" s="11">
        <v>0</v>
      </c>
      <c r="K109" s="11">
        <v>0</v>
      </c>
      <c r="L109" s="7"/>
      <c r="M109" s="11">
        <v>0</v>
      </c>
      <c r="Q109" s="21"/>
      <c r="R109" s="7"/>
    </row>
    <row r="110" spans="1:18" ht="15" customHeight="1">
      <c r="A110" s="10">
        <f t="shared" si="12"/>
        <v>108</v>
      </c>
      <c r="B110" s="9" t="s">
        <v>24</v>
      </c>
      <c r="C110" s="9" t="s">
        <v>223</v>
      </c>
      <c r="D110" s="8" t="s">
        <v>4</v>
      </c>
      <c r="E110" s="13">
        <v>23966</v>
      </c>
      <c r="F110" s="7">
        <v>40480</v>
      </c>
      <c r="G110" s="11">
        <v>16743.75</v>
      </c>
      <c r="H110" s="7">
        <f t="shared" si="20"/>
        <v>40480</v>
      </c>
      <c r="I110">
        <v>50</v>
      </c>
      <c r="J110" s="11">
        <v>0</v>
      </c>
      <c r="K110" s="11">
        <v>0</v>
      </c>
      <c r="L110" s="7"/>
      <c r="M110" s="11">
        <v>0</v>
      </c>
      <c r="Q110" s="21"/>
      <c r="R110" s="7"/>
    </row>
    <row r="111" spans="1:18" ht="15" customHeight="1">
      <c r="A111" s="10">
        <f t="shared" si="12"/>
        <v>109</v>
      </c>
      <c r="B111" s="9" t="s">
        <v>66</v>
      </c>
      <c r="C111" s="9" t="s">
        <v>119</v>
      </c>
      <c r="D111" s="8" t="s">
        <v>1</v>
      </c>
      <c r="E111" s="13">
        <v>27323</v>
      </c>
      <c r="F111" s="7">
        <v>42818</v>
      </c>
      <c r="G111" s="11">
        <v>15030.46875</v>
      </c>
      <c r="H111" s="7">
        <f t="shared" si="20"/>
        <v>42818</v>
      </c>
      <c r="I111">
        <v>50</v>
      </c>
      <c r="J111" s="11">
        <v>0</v>
      </c>
      <c r="K111" s="11">
        <v>0</v>
      </c>
      <c r="L111" s="7"/>
      <c r="M111" s="11">
        <v>0</v>
      </c>
      <c r="Q111" s="21"/>
      <c r="R111" s="7"/>
    </row>
    <row r="112" spans="1:18" ht="15" customHeight="1">
      <c r="A112" s="10">
        <f t="shared" si="12"/>
        <v>110</v>
      </c>
      <c r="B112" s="9" t="s">
        <v>60</v>
      </c>
      <c r="C112" s="9" t="s">
        <v>250</v>
      </c>
      <c r="D112" s="8" t="s">
        <v>4</v>
      </c>
      <c r="E112" s="13">
        <v>24590</v>
      </c>
      <c r="F112" s="7">
        <v>42721</v>
      </c>
      <c r="G112" s="11">
        <v>18656.25</v>
      </c>
      <c r="H112" s="7">
        <f t="shared" si="20"/>
        <v>42721</v>
      </c>
      <c r="I112">
        <v>50</v>
      </c>
      <c r="J112" s="11">
        <v>0</v>
      </c>
      <c r="K112" s="11">
        <v>0</v>
      </c>
      <c r="L112" s="7"/>
      <c r="M112" s="11">
        <v>0</v>
      </c>
      <c r="Q112" s="21"/>
      <c r="R112" s="7"/>
    </row>
    <row r="113" spans="1:18" ht="15" customHeight="1">
      <c r="A113" s="10">
        <f t="shared" si="12"/>
        <v>111</v>
      </c>
      <c r="B113" s="9" t="s">
        <v>251</v>
      </c>
      <c r="C113" s="9" t="s">
        <v>74</v>
      </c>
      <c r="D113" s="8" t="s">
        <v>4</v>
      </c>
      <c r="E113" s="13">
        <v>26370</v>
      </c>
      <c r="F113" s="7">
        <v>37803</v>
      </c>
      <c r="G113" s="11">
        <v>17062.5</v>
      </c>
      <c r="H113" s="7"/>
      <c r="I113" s="7"/>
      <c r="J113" s="11">
        <v>405756</v>
      </c>
      <c r="K113" s="11">
        <f t="shared" ref="K113:K114" si="21">G113</f>
        <v>17062.5</v>
      </c>
      <c r="L113" s="7"/>
      <c r="M113" s="11">
        <v>0</v>
      </c>
      <c r="Q113" s="21"/>
      <c r="R113" s="7"/>
    </row>
    <row r="114" spans="1:18" ht="15" customHeight="1">
      <c r="A114" s="10">
        <f t="shared" si="12"/>
        <v>112</v>
      </c>
      <c r="B114" s="9" t="s">
        <v>109</v>
      </c>
      <c r="C114" s="9" t="s">
        <v>89</v>
      </c>
      <c r="D114" s="8" t="s">
        <v>1</v>
      </c>
      <c r="E114" s="13">
        <v>25976</v>
      </c>
      <c r="F114" s="7">
        <v>38697</v>
      </c>
      <c r="G114" s="11">
        <v>15007.359375</v>
      </c>
      <c r="H114" s="7"/>
      <c r="I114" s="7"/>
      <c r="J114" s="11">
        <v>273885.3</v>
      </c>
      <c r="K114" s="11">
        <f t="shared" si="21"/>
        <v>15007.359375</v>
      </c>
      <c r="L114" s="7"/>
      <c r="M114" s="11">
        <v>0</v>
      </c>
      <c r="Q114" s="21"/>
      <c r="R114" s="7"/>
    </row>
    <row r="115" spans="1:18" ht="15" customHeight="1">
      <c r="A115" s="10">
        <f t="shared" si="12"/>
        <v>113</v>
      </c>
      <c r="B115" s="9" t="s">
        <v>34</v>
      </c>
      <c r="C115" s="9" t="s">
        <v>224</v>
      </c>
      <c r="D115" s="8" t="s">
        <v>1</v>
      </c>
      <c r="E115" s="13">
        <v>31446</v>
      </c>
      <c r="F115" s="7">
        <v>42626</v>
      </c>
      <c r="G115" s="11">
        <v>14831.25</v>
      </c>
      <c r="H115" s="7">
        <f>F115</f>
        <v>42626</v>
      </c>
      <c r="I115">
        <v>50</v>
      </c>
      <c r="J115" s="11">
        <v>0</v>
      </c>
      <c r="K115" s="11">
        <v>0</v>
      </c>
      <c r="L115" s="7"/>
      <c r="M115" s="11">
        <v>0</v>
      </c>
      <c r="Q115" s="21"/>
      <c r="R115" s="7"/>
    </row>
    <row r="116" spans="1:18" s="6" customFormat="1">
      <c r="A116" s="10">
        <f t="shared" si="12"/>
        <v>114</v>
      </c>
      <c r="B116" s="5" t="s">
        <v>94</v>
      </c>
      <c r="C116" s="5" t="s">
        <v>82</v>
      </c>
      <c r="D116" s="4" t="s">
        <v>1</v>
      </c>
      <c r="E116" s="13">
        <v>28154</v>
      </c>
      <c r="F116" s="7">
        <v>39311</v>
      </c>
      <c r="G116" s="11">
        <v>10050</v>
      </c>
      <c r="H116" s="7"/>
      <c r="I116" s="3"/>
      <c r="J116" s="11">
        <v>152158.5</v>
      </c>
      <c r="K116" s="11">
        <f t="shared" ref="K116:K117" si="22">G116</f>
        <v>10050</v>
      </c>
      <c r="L116" s="7">
        <v>45750</v>
      </c>
      <c r="M116" s="11">
        <v>160000</v>
      </c>
      <c r="N116" s="2"/>
      <c r="O116" s="2" t="s">
        <v>265</v>
      </c>
      <c r="P116" s="7"/>
      <c r="Q116" s="21"/>
      <c r="R116" s="23"/>
    </row>
    <row r="117" spans="1:18" ht="15" customHeight="1">
      <c r="A117" s="10">
        <f t="shared" si="12"/>
        <v>115</v>
      </c>
      <c r="B117" s="9" t="s">
        <v>252</v>
      </c>
      <c r="C117" s="9" t="s">
        <v>33</v>
      </c>
      <c r="D117" s="8" t="s">
        <v>4</v>
      </c>
      <c r="E117" s="13">
        <v>24940</v>
      </c>
      <c r="F117" s="7">
        <v>37997</v>
      </c>
      <c r="G117" s="11">
        <v>10767.1875</v>
      </c>
      <c r="H117" s="7"/>
      <c r="I117" s="7"/>
      <c r="J117" s="11">
        <v>131870.69999999998</v>
      </c>
      <c r="K117" s="11">
        <f t="shared" si="22"/>
        <v>10767.1875</v>
      </c>
      <c r="L117" s="7"/>
      <c r="M117" s="11">
        <v>0</v>
      </c>
      <c r="Q117" s="21"/>
      <c r="R117" s="7"/>
    </row>
    <row r="118" spans="1:18" ht="15" customHeight="1">
      <c r="A118" s="10">
        <f t="shared" si="12"/>
        <v>116</v>
      </c>
      <c r="B118" s="9" t="s">
        <v>85</v>
      </c>
      <c r="C118" s="9" t="s">
        <v>253</v>
      </c>
      <c r="D118" s="8" t="s">
        <v>4</v>
      </c>
      <c r="E118" s="13">
        <v>25898</v>
      </c>
      <c r="F118" s="7">
        <v>42399</v>
      </c>
      <c r="G118" s="11">
        <v>17700</v>
      </c>
      <c r="H118" s="7">
        <f>F118</f>
        <v>42399</v>
      </c>
      <c r="I118">
        <v>100</v>
      </c>
      <c r="J118" s="11">
        <v>0</v>
      </c>
      <c r="K118" s="11">
        <v>0</v>
      </c>
      <c r="L118" s="7"/>
      <c r="M118" s="11">
        <v>0</v>
      </c>
      <c r="Q118" s="21"/>
      <c r="R118" s="7"/>
    </row>
    <row r="119" spans="1:18" ht="15" customHeight="1">
      <c r="A119" s="10">
        <f t="shared" si="12"/>
        <v>117</v>
      </c>
      <c r="B119" s="9" t="s">
        <v>84</v>
      </c>
      <c r="C119" s="9" t="s">
        <v>225</v>
      </c>
      <c r="D119" s="8" t="s">
        <v>4</v>
      </c>
      <c r="E119" s="13">
        <v>26041</v>
      </c>
      <c r="F119" s="7">
        <v>38266</v>
      </c>
      <c r="G119" s="11">
        <v>14592.1875</v>
      </c>
      <c r="H119" s="7"/>
      <c r="I119" s="7"/>
      <c r="J119" s="11">
        <v>167786.36408987376</v>
      </c>
      <c r="K119" s="11">
        <f t="shared" ref="K119:K121" si="23">G119</f>
        <v>14592.1875</v>
      </c>
      <c r="L119" s="7"/>
      <c r="M119" s="11">
        <v>0</v>
      </c>
      <c r="Q119" s="21"/>
      <c r="R119" s="7"/>
    </row>
    <row r="120" spans="1:18" ht="15" customHeight="1">
      <c r="A120" s="10">
        <f t="shared" si="12"/>
        <v>118</v>
      </c>
      <c r="B120" s="9" t="s">
        <v>254</v>
      </c>
      <c r="C120" s="9" t="s">
        <v>141</v>
      </c>
      <c r="D120" s="8" t="s">
        <v>4</v>
      </c>
      <c r="E120" s="13">
        <v>25851</v>
      </c>
      <c r="F120" s="7">
        <v>39239</v>
      </c>
      <c r="G120" s="11">
        <v>10241.25</v>
      </c>
      <c r="H120" s="7"/>
      <c r="I120" s="7"/>
      <c r="J120" s="11">
        <v>159189.46858261671</v>
      </c>
      <c r="K120" s="11">
        <f t="shared" si="23"/>
        <v>10241.25</v>
      </c>
      <c r="L120" s="7"/>
      <c r="M120" s="11">
        <v>0</v>
      </c>
      <c r="Q120" s="21"/>
      <c r="R120" s="7"/>
    </row>
    <row r="121" spans="1:18" ht="15" customHeight="1">
      <c r="A121" s="10">
        <f t="shared" si="12"/>
        <v>119</v>
      </c>
      <c r="B121" s="9" t="s">
        <v>17</v>
      </c>
      <c r="C121" s="9" t="s">
        <v>86</v>
      </c>
      <c r="D121" s="8" t="s">
        <v>1</v>
      </c>
      <c r="E121" s="13">
        <v>25627</v>
      </c>
      <c r="F121" s="7">
        <v>38576</v>
      </c>
      <c r="G121" s="11">
        <v>13157.8125</v>
      </c>
      <c r="H121" s="7"/>
      <c r="I121" s="7"/>
      <c r="J121" s="11">
        <v>56389.134484590744</v>
      </c>
      <c r="K121" s="11">
        <f t="shared" si="23"/>
        <v>13157.8125</v>
      </c>
      <c r="L121" s="7"/>
      <c r="M121" s="11">
        <v>0</v>
      </c>
      <c r="Q121" s="21"/>
      <c r="R121" s="7"/>
    </row>
    <row r="122" spans="1:18" ht="15" customHeight="1">
      <c r="A122" s="10">
        <f t="shared" si="12"/>
        <v>120</v>
      </c>
      <c r="B122" s="9" t="s">
        <v>79</v>
      </c>
      <c r="C122" s="9" t="s">
        <v>226</v>
      </c>
      <c r="D122" s="8" t="s">
        <v>1</v>
      </c>
      <c r="E122" s="13">
        <v>26469</v>
      </c>
      <c r="F122" s="7">
        <v>39914</v>
      </c>
      <c r="G122" s="11">
        <v>13556.25</v>
      </c>
      <c r="H122" s="7">
        <f t="shared" ref="H122:H123" si="24">F122</f>
        <v>39914</v>
      </c>
      <c r="I122">
        <v>100</v>
      </c>
      <c r="J122" s="11">
        <v>0</v>
      </c>
      <c r="K122" s="11">
        <v>0</v>
      </c>
      <c r="L122" s="7"/>
      <c r="M122" s="11">
        <v>0</v>
      </c>
      <c r="Q122" s="21"/>
      <c r="R122" s="7"/>
    </row>
    <row r="123" spans="1:18" ht="15" customHeight="1">
      <c r="A123" s="10">
        <f t="shared" si="12"/>
        <v>121</v>
      </c>
      <c r="B123" s="9" t="s">
        <v>255</v>
      </c>
      <c r="C123" s="9" t="s">
        <v>47</v>
      </c>
      <c r="D123" s="8" t="s">
        <v>1</v>
      </c>
      <c r="E123" s="13">
        <v>24376</v>
      </c>
      <c r="F123" s="7">
        <v>33202</v>
      </c>
      <c r="G123" s="11">
        <v>17540.625</v>
      </c>
      <c r="H123" s="7">
        <f t="shared" si="24"/>
        <v>33202</v>
      </c>
      <c r="I123">
        <v>50</v>
      </c>
      <c r="J123" s="11">
        <v>0</v>
      </c>
      <c r="K123" s="11">
        <v>0</v>
      </c>
      <c r="L123" s="7"/>
      <c r="M123" s="11">
        <v>0</v>
      </c>
      <c r="Q123" s="21"/>
      <c r="R123" s="7"/>
    </row>
    <row r="124" spans="1:18" ht="15" customHeight="1">
      <c r="A124" s="10">
        <f t="shared" si="12"/>
        <v>122</v>
      </c>
      <c r="B124" s="9" t="s">
        <v>62</v>
      </c>
      <c r="C124" s="9" t="s">
        <v>88</v>
      </c>
      <c r="D124" s="8" t="s">
        <v>1</v>
      </c>
      <c r="E124" s="13">
        <v>25937</v>
      </c>
      <c r="F124" s="7">
        <v>37803</v>
      </c>
      <c r="G124" s="11">
        <v>16743.75</v>
      </c>
      <c r="H124" s="7"/>
      <c r="I124" s="7"/>
      <c r="J124" s="11">
        <v>332463.75561803876</v>
      </c>
      <c r="K124" s="11">
        <f>G124</f>
        <v>16743.75</v>
      </c>
      <c r="L124" s="7"/>
      <c r="M124" s="11">
        <v>0</v>
      </c>
      <c r="Q124" s="21"/>
      <c r="R124" s="7"/>
    </row>
    <row r="125" spans="1:18" ht="15" customHeight="1">
      <c r="A125" s="10">
        <f t="shared" si="12"/>
        <v>123</v>
      </c>
      <c r="B125" s="9" t="s">
        <v>256</v>
      </c>
      <c r="C125" s="9" t="s">
        <v>227</v>
      </c>
      <c r="D125" s="8" t="s">
        <v>1</v>
      </c>
      <c r="E125" s="13">
        <v>33043</v>
      </c>
      <c r="F125" s="7">
        <v>42585</v>
      </c>
      <c r="G125" s="11">
        <v>5906.25</v>
      </c>
      <c r="H125" s="7">
        <f t="shared" ref="H125:H127" si="25">F125</f>
        <v>42585</v>
      </c>
      <c r="I125">
        <v>100</v>
      </c>
      <c r="J125" s="11">
        <v>0</v>
      </c>
      <c r="K125" s="11">
        <v>0</v>
      </c>
      <c r="L125" s="7"/>
      <c r="M125" s="11">
        <v>0</v>
      </c>
      <c r="Q125" s="21"/>
      <c r="R125" s="7"/>
    </row>
    <row r="126" spans="1:18" ht="15" customHeight="1">
      <c r="A126" s="10">
        <f t="shared" si="12"/>
        <v>124</v>
      </c>
      <c r="B126" s="9" t="s">
        <v>48</v>
      </c>
      <c r="C126" s="9" t="s">
        <v>228</v>
      </c>
      <c r="D126" s="8" t="s">
        <v>1</v>
      </c>
      <c r="E126" s="13">
        <v>29973</v>
      </c>
      <c r="F126" s="7">
        <v>41271</v>
      </c>
      <c r="G126" s="11">
        <v>4312.5</v>
      </c>
      <c r="H126" s="7">
        <f t="shared" si="25"/>
        <v>41271</v>
      </c>
      <c r="I126">
        <v>100</v>
      </c>
      <c r="J126" s="11">
        <v>0</v>
      </c>
      <c r="K126" s="11">
        <v>0</v>
      </c>
      <c r="L126" s="7"/>
      <c r="M126" s="11">
        <v>0</v>
      </c>
      <c r="Q126" s="21"/>
      <c r="R126" s="7"/>
    </row>
    <row r="127" spans="1:18" ht="15" customHeight="1">
      <c r="A127" s="10">
        <f t="shared" si="12"/>
        <v>125</v>
      </c>
      <c r="B127" s="9" t="s">
        <v>46</v>
      </c>
      <c r="C127" s="9" t="s">
        <v>229</v>
      </c>
      <c r="D127" s="8" t="s">
        <v>4</v>
      </c>
      <c r="E127" s="13">
        <v>27905</v>
      </c>
      <c r="F127" s="7">
        <v>41395</v>
      </c>
      <c r="G127" s="11">
        <v>4312.5</v>
      </c>
      <c r="H127" s="7">
        <f t="shared" si="25"/>
        <v>41395</v>
      </c>
      <c r="I127">
        <v>100</v>
      </c>
      <c r="J127" s="11">
        <v>0</v>
      </c>
      <c r="K127" s="11">
        <v>0</v>
      </c>
      <c r="L127" s="7"/>
      <c r="M127" s="11">
        <v>0</v>
      </c>
      <c r="Q127" s="21"/>
      <c r="R127" s="7"/>
    </row>
    <row r="128" spans="1:18" ht="15" customHeight="1">
      <c r="A128" s="10">
        <f t="shared" si="12"/>
        <v>126</v>
      </c>
      <c r="B128" s="12" t="s">
        <v>126</v>
      </c>
      <c r="C128" s="12" t="s">
        <v>108</v>
      </c>
      <c r="D128" s="8" t="s">
        <v>4</v>
      </c>
      <c r="E128" s="13">
        <v>26617</v>
      </c>
      <c r="F128" s="7">
        <v>42063</v>
      </c>
      <c r="G128" s="11">
        <v>5029.6875</v>
      </c>
      <c r="H128" s="7"/>
      <c r="I128" s="7"/>
      <c r="J128" s="11">
        <v>16864.488882341207</v>
      </c>
      <c r="K128" s="11">
        <f t="shared" ref="K128:K132" si="26">G128</f>
        <v>5029.6875</v>
      </c>
      <c r="L128" s="7"/>
      <c r="M128" s="11">
        <v>0</v>
      </c>
      <c r="Q128" s="21"/>
      <c r="R128" s="7"/>
    </row>
    <row r="129" spans="1:18">
      <c r="A129" s="10">
        <f t="shared" si="12"/>
        <v>127</v>
      </c>
      <c r="B129" s="12" t="s">
        <v>10</v>
      </c>
      <c r="C129" s="12" t="s">
        <v>116</v>
      </c>
      <c r="D129" s="8" t="s">
        <v>1</v>
      </c>
      <c r="E129" s="13">
        <v>32778</v>
      </c>
      <c r="F129" s="7">
        <v>41953</v>
      </c>
      <c r="G129" s="11">
        <v>5268.75</v>
      </c>
      <c r="H129" s="7"/>
      <c r="I129" s="7"/>
      <c r="J129" s="11">
        <v>36000</v>
      </c>
      <c r="K129" s="11">
        <f t="shared" si="26"/>
        <v>5268.75</v>
      </c>
      <c r="L129" s="7">
        <v>45784</v>
      </c>
      <c r="M129" s="11">
        <v>40000</v>
      </c>
      <c r="O129" t="s">
        <v>265</v>
      </c>
      <c r="P129" s="7"/>
      <c r="Q129" s="21"/>
      <c r="R129" s="7"/>
    </row>
    <row r="130" spans="1:18">
      <c r="A130" s="10">
        <f t="shared" si="12"/>
        <v>128</v>
      </c>
      <c r="B130" s="12" t="s">
        <v>118</v>
      </c>
      <c r="C130" s="12" t="s">
        <v>230</v>
      </c>
      <c r="D130" s="8" t="s">
        <v>4</v>
      </c>
      <c r="E130" s="13">
        <v>28295</v>
      </c>
      <c r="F130" s="7">
        <v>42098</v>
      </c>
      <c r="G130" s="11">
        <v>5029.6875</v>
      </c>
      <c r="H130" s="7"/>
      <c r="I130" s="7"/>
      <c r="J130" s="11">
        <v>36000</v>
      </c>
      <c r="K130" s="11">
        <f t="shared" si="26"/>
        <v>5029.6875</v>
      </c>
      <c r="L130" s="7">
        <v>45904</v>
      </c>
      <c r="M130" s="11">
        <v>36000</v>
      </c>
      <c r="O130" t="s">
        <v>265</v>
      </c>
      <c r="P130" s="7"/>
      <c r="Q130" s="21"/>
      <c r="R130" s="7"/>
    </row>
    <row r="131" spans="1:18" ht="15" customHeight="1">
      <c r="A131" s="10">
        <f t="shared" si="12"/>
        <v>129</v>
      </c>
      <c r="B131" s="12" t="s">
        <v>2</v>
      </c>
      <c r="C131" s="12" t="s">
        <v>3</v>
      </c>
      <c r="D131" s="8" t="s">
        <v>1</v>
      </c>
      <c r="E131" s="13">
        <v>26751</v>
      </c>
      <c r="F131" s="7">
        <v>41900</v>
      </c>
      <c r="G131" s="11">
        <v>5587.5</v>
      </c>
      <c r="H131" s="7"/>
      <c r="I131" s="7"/>
      <c r="J131" s="11">
        <v>19744.711988357249</v>
      </c>
      <c r="K131" s="11">
        <f t="shared" si="26"/>
        <v>5587.5</v>
      </c>
      <c r="L131" s="7"/>
      <c r="M131" s="11">
        <v>0</v>
      </c>
      <c r="Q131" s="21"/>
      <c r="R131" s="7"/>
    </row>
    <row r="132" spans="1:18" ht="15" customHeight="1">
      <c r="A132" s="10">
        <f t="shared" si="12"/>
        <v>130</v>
      </c>
      <c r="B132" s="12" t="s">
        <v>257</v>
      </c>
      <c r="C132" s="12" t="s">
        <v>231</v>
      </c>
      <c r="D132" s="8" t="s">
        <v>4</v>
      </c>
      <c r="E132" s="13">
        <v>26398</v>
      </c>
      <c r="F132" s="7">
        <v>41760</v>
      </c>
      <c r="G132" s="11">
        <v>5786.71875</v>
      </c>
      <c r="H132" s="7"/>
      <c r="I132" s="7"/>
      <c r="J132" s="11">
        <v>20210.48597508555</v>
      </c>
      <c r="K132" s="11">
        <f t="shared" si="26"/>
        <v>5786.71875</v>
      </c>
      <c r="L132" s="7"/>
      <c r="M132" s="11">
        <v>0</v>
      </c>
      <c r="Q132" s="21"/>
      <c r="R132" s="7"/>
    </row>
    <row r="133" spans="1:18" ht="15" customHeight="1">
      <c r="A133" s="10">
        <f t="shared" ref="A133:A152" si="27">A132+1</f>
        <v>131</v>
      </c>
      <c r="B133" s="12" t="s">
        <v>49</v>
      </c>
      <c r="C133" s="12" t="s">
        <v>75</v>
      </c>
      <c r="D133" s="8" t="s">
        <v>4</v>
      </c>
      <c r="E133" s="13">
        <v>28401</v>
      </c>
      <c r="F133" s="7">
        <v>41760</v>
      </c>
      <c r="G133" s="11">
        <v>11165.625</v>
      </c>
      <c r="H133" s="7">
        <f>F133</f>
        <v>41760</v>
      </c>
      <c r="I133">
        <v>50</v>
      </c>
      <c r="J133" s="11">
        <v>0</v>
      </c>
      <c r="K133" s="11">
        <v>0</v>
      </c>
      <c r="L133" s="7"/>
      <c r="M133" s="11">
        <v>0</v>
      </c>
      <c r="Q133" s="21"/>
      <c r="R133" s="7"/>
    </row>
    <row r="134" spans="1:18" ht="15" customHeight="1">
      <c r="A134" s="10">
        <f t="shared" si="27"/>
        <v>132</v>
      </c>
      <c r="B134" s="12" t="s">
        <v>50</v>
      </c>
      <c r="C134" s="12" t="s">
        <v>232</v>
      </c>
      <c r="D134" s="8" t="s">
        <v>4</v>
      </c>
      <c r="E134" s="13">
        <v>30663</v>
      </c>
      <c r="F134" s="7">
        <v>41760</v>
      </c>
      <c r="G134" s="11">
        <v>5428.125</v>
      </c>
      <c r="H134" s="7"/>
      <c r="I134" s="7"/>
      <c r="J134" s="11">
        <v>19060.756944699526</v>
      </c>
      <c r="K134" s="11">
        <f>G134</f>
        <v>5428.125</v>
      </c>
      <c r="L134" s="7"/>
      <c r="M134" s="11">
        <v>0</v>
      </c>
      <c r="Q134" s="21"/>
      <c r="R134" s="7"/>
    </row>
    <row r="135" spans="1:18" ht="15" customHeight="1">
      <c r="A135" s="10">
        <f t="shared" si="27"/>
        <v>133</v>
      </c>
      <c r="B135" s="12" t="s">
        <v>117</v>
      </c>
      <c r="C135" s="12" t="s">
        <v>233</v>
      </c>
      <c r="D135" s="8" t="s">
        <v>1</v>
      </c>
      <c r="E135" s="13">
        <v>25888</v>
      </c>
      <c r="F135" s="7">
        <v>41936</v>
      </c>
      <c r="G135" s="11">
        <v>11962.5</v>
      </c>
      <c r="H135" s="7">
        <f>F135</f>
        <v>41936</v>
      </c>
      <c r="I135">
        <v>100</v>
      </c>
      <c r="J135" s="11">
        <v>0</v>
      </c>
      <c r="K135" s="11">
        <v>0</v>
      </c>
      <c r="L135" s="7"/>
      <c r="M135" s="11">
        <v>0</v>
      </c>
      <c r="Q135" s="21"/>
      <c r="R135" s="7"/>
    </row>
    <row r="136" spans="1:18" ht="15" customHeight="1">
      <c r="A136" s="10">
        <f t="shared" si="27"/>
        <v>134</v>
      </c>
      <c r="B136" s="12" t="s">
        <v>111</v>
      </c>
      <c r="C136" s="12" t="s">
        <v>57</v>
      </c>
      <c r="D136" s="8" t="s">
        <v>4</v>
      </c>
      <c r="E136" s="13">
        <v>26792</v>
      </c>
      <c r="F136" s="7">
        <v>41760</v>
      </c>
      <c r="G136" s="11">
        <v>5428.125</v>
      </c>
      <c r="H136" s="7"/>
      <c r="I136" s="7"/>
      <c r="J136" s="11">
        <v>25612.313737217894</v>
      </c>
      <c r="K136" s="11">
        <f t="shared" ref="K136:K139" si="28">G136</f>
        <v>5428.125</v>
      </c>
      <c r="L136" s="7"/>
      <c r="M136" s="11">
        <v>0</v>
      </c>
      <c r="Q136" s="21"/>
      <c r="R136" s="7"/>
    </row>
    <row r="137" spans="1:18" ht="15" customHeight="1">
      <c r="A137" s="10">
        <f t="shared" si="27"/>
        <v>135</v>
      </c>
      <c r="B137" s="12" t="s">
        <v>93</v>
      </c>
      <c r="C137" s="12" t="s">
        <v>234</v>
      </c>
      <c r="D137" s="8" t="s">
        <v>4</v>
      </c>
      <c r="E137" s="13">
        <v>31572</v>
      </c>
      <c r="F137" s="7">
        <v>41760</v>
      </c>
      <c r="G137" s="11">
        <v>8775</v>
      </c>
      <c r="H137" s="7"/>
      <c r="I137" s="7"/>
      <c r="J137" s="11">
        <v>36552.651337351621</v>
      </c>
      <c r="K137" s="11">
        <f t="shared" si="28"/>
        <v>8775</v>
      </c>
      <c r="L137" s="7"/>
      <c r="M137" s="11">
        <v>0</v>
      </c>
      <c r="Q137" s="21"/>
      <c r="R137" s="7"/>
    </row>
    <row r="138" spans="1:18" ht="15" customHeight="1">
      <c r="A138" s="10">
        <f t="shared" si="27"/>
        <v>136</v>
      </c>
      <c r="B138" s="12" t="s">
        <v>92</v>
      </c>
      <c r="C138" s="12" t="s">
        <v>83</v>
      </c>
      <c r="D138" s="8" t="s">
        <v>4</v>
      </c>
      <c r="E138" s="13">
        <v>28256</v>
      </c>
      <c r="F138" s="7">
        <v>41760</v>
      </c>
      <c r="G138" s="11">
        <v>5667.1875</v>
      </c>
      <c r="H138" s="7"/>
      <c r="I138" s="7"/>
      <c r="J138" s="11">
        <v>18865.61423263311</v>
      </c>
      <c r="K138" s="11">
        <f t="shared" si="28"/>
        <v>5667.1875</v>
      </c>
      <c r="L138" s="7"/>
      <c r="M138" s="11">
        <v>0</v>
      </c>
      <c r="Q138" s="21"/>
      <c r="R138" s="7"/>
    </row>
    <row r="139" spans="1:18" ht="15" customHeight="1">
      <c r="A139" s="10">
        <f t="shared" si="27"/>
        <v>137</v>
      </c>
      <c r="B139" s="12" t="s">
        <v>26</v>
      </c>
      <c r="C139" s="12" t="s">
        <v>114</v>
      </c>
      <c r="D139" s="8" t="s">
        <v>1</v>
      </c>
      <c r="E139" s="13">
        <v>27095</v>
      </c>
      <c r="F139" s="7">
        <v>41760</v>
      </c>
      <c r="G139" s="11">
        <v>8356.640625</v>
      </c>
      <c r="H139" s="7"/>
      <c r="I139" s="7"/>
      <c r="J139" s="11">
        <v>48983.553605747053</v>
      </c>
      <c r="K139" s="11">
        <f t="shared" si="28"/>
        <v>8356.640625</v>
      </c>
      <c r="L139" s="7"/>
      <c r="M139" s="11">
        <v>0</v>
      </c>
      <c r="Q139" s="21"/>
      <c r="R139" s="7"/>
    </row>
    <row r="140" spans="1:18" ht="15" customHeight="1">
      <c r="A140" s="10">
        <f t="shared" si="27"/>
        <v>138</v>
      </c>
      <c r="B140" s="12" t="s">
        <v>2</v>
      </c>
      <c r="C140" s="12" t="s">
        <v>235</v>
      </c>
      <c r="D140" s="8" t="s">
        <v>1</v>
      </c>
      <c r="E140" s="13">
        <v>25010</v>
      </c>
      <c r="F140" s="7">
        <v>42426</v>
      </c>
      <c r="G140" s="11">
        <v>17939.0625</v>
      </c>
      <c r="H140" s="7">
        <f t="shared" ref="H140:H141" si="29">F140</f>
        <v>42426</v>
      </c>
      <c r="I140">
        <v>100</v>
      </c>
      <c r="J140" s="11">
        <v>0</v>
      </c>
      <c r="K140" s="11">
        <v>0</v>
      </c>
      <c r="L140" s="7"/>
      <c r="M140" s="11">
        <v>0</v>
      </c>
      <c r="Q140" s="21"/>
      <c r="R140" s="7"/>
    </row>
    <row r="141" spans="1:18" ht="15" customHeight="1">
      <c r="A141" s="10">
        <f t="shared" si="27"/>
        <v>139</v>
      </c>
      <c r="B141" s="12" t="s">
        <v>107</v>
      </c>
      <c r="C141" s="12" t="s">
        <v>236</v>
      </c>
      <c r="D141" s="8" t="s">
        <v>1</v>
      </c>
      <c r="E141" s="13">
        <v>27115</v>
      </c>
      <c r="F141" s="7">
        <v>41760</v>
      </c>
      <c r="G141" s="11">
        <v>8775</v>
      </c>
      <c r="H141" s="7">
        <f t="shared" si="29"/>
        <v>41760</v>
      </c>
      <c r="I141">
        <v>50</v>
      </c>
      <c r="J141" s="11">
        <v>0</v>
      </c>
      <c r="K141" s="11">
        <v>0</v>
      </c>
      <c r="L141" s="7"/>
      <c r="M141" s="11">
        <v>0</v>
      </c>
      <c r="Q141" s="21"/>
      <c r="R141" s="7"/>
    </row>
    <row r="142" spans="1:18" ht="15" customHeight="1">
      <c r="A142" s="10">
        <f t="shared" si="27"/>
        <v>140</v>
      </c>
      <c r="B142" s="12" t="s">
        <v>23</v>
      </c>
      <c r="C142" s="12" t="s">
        <v>237</v>
      </c>
      <c r="D142" s="8" t="s">
        <v>4</v>
      </c>
      <c r="E142" s="13">
        <v>27517</v>
      </c>
      <c r="F142" s="7">
        <v>42786</v>
      </c>
      <c r="G142" s="11">
        <v>5746.875</v>
      </c>
      <c r="H142" s="7"/>
      <c r="I142" s="7"/>
      <c r="J142" s="11">
        <v>10661.182806758536</v>
      </c>
      <c r="K142" s="11">
        <f t="shared" ref="K142:K145" si="30">G142</f>
        <v>5746.875</v>
      </c>
      <c r="L142" s="7"/>
      <c r="M142" s="11">
        <v>0</v>
      </c>
      <c r="Q142" s="21"/>
      <c r="R142" s="7"/>
    </row>
    <row r="143" spans="1:18">
      <c r="A143" s="10">
        <f t="shared" si="27"/>
        <v>141</v>
      </c>
      <c r="B143" s="12" t="s">
        <v>258</v>
      </c>
      <c r="C143" s="12" t="s">
        <v>72</v>
      </c>
      <c r="D143" s="8" t="s">
        <v>4</v>
      </c>
      <c r="E143" s="13">
        <v>34248</v>
      </c>
      <c r="F143" s="7">
        <v>42382</v>
      </c>
      <c r="G143" s="11">
        <v>5029.6875</v>
      </c>
      <c r="H143" s="7"/>
      <c r="I143" s="7"/>
      <c r="J143" s="11">
        <v>24000</v>
      </c>
      <c r="K143" s="11">
        <f t="shared" si="30"/>
        <v>5029.6875</v>
      </c>
      <c r="L143" s="7">
        <v>45722</v>
      </c>
      <c r="M143" s="11">
        <v>25000</v>
      </c>
      <c r="O143" t="s">
        <v>265</v>
      </c>
      <c r="P143" s="7"/>
      <c r="Q143" s="21"/>
      <c r="R143" s="7"/>
    </row>
    <row r="144" spans="1:18" ht="15" customHeight="1">
      <c r="A144" s="10">
        <f t="shared" si="27"/>
        <v>142</v>
      </c>
      <c r="B144" s="12" t="s">
        <v>249</v>
      </c>
      <c r="C144" s="12" t="s">
        <v>238</v>
      </c>
      <c r="D144" s="8" t="s">
        <v>1</v>
      </c>
      <c r="E144" s="13">
        <v>24815</v>
      </c>
      <c r="F144" s="7">
        <v>42601</v>
      </c>
      <c r="G144" s="11">
        <v>7978.125</v>
      </c>
      <c r="H144" s="7"/>
      <c r="I144" s="7"/>
      <c r="J144" s="11">
        <v>11998.563026036943</v>
      </c>
      <c r="K144" s="11">
        <f t="shared" si="30"/>
        <v>7978.125</v>
      </c>
      <c r="L144" s="7"/>
      <c r="M144" s="11">
        <v>0</v>
      </c>
      <c r="Q144" s="21"/>
      <c r="R144" s="7"/>
    </row>
    <row r="145" spans="1:18" ht="15" customHeight="1">
      <c r="A145" s="10">
        <f t="shared" si="27"/>
        <v>143</v>
      </c>
      <c r="B145" s="12" t="s">
        <v>31</v>
      </c>
      <c r="C145" s="12" t="s">
        <v>239</v>
      </c>
      <c r="D145" s="8" t="s">
        <v>4</v>
      </c>
      <c r="E145" s="13">
        <v>28766</v>
      </c>
      <c r="F145" s="7">
        <v>42626</v>
      </c>
      <c r="G145" s="11">
        <v>5268.75</v>
      </c>
      <c r="H145" s="7"/>
      <c r="I145" s="7"/>
      <c r="J145" s="11">
        <v>4416.5873540904122</v>
      </c>
      <c r="K145" s="11">
        <f t="shared" si="30"/>
        <v>5268.75</v>
      </c>
      <c r="L145" s="7"/>
      <c r="M145" s="11">
        <v>0</v>
      </c>
      <c r="Q145" s="21"/>
      <c r="R145" s="7"/>
    </row>
    <row r="146" spans="1:18" ht="15" customHeight="1">
      <c r="A146" s="10">
        <f t="shared" si="27"/>
        <v>144</v>
      </c>
      <c r="B146" s="12" t="s">
        <v>69</v>
      </c>
      <c r="C146" s="12" t="s">
        <v>240</v>
      </c>
      <c r="D146" s="8" t="s">
        <v>1</v>
      </c>
      <c r="E146" s="13">
        <v>29538</v>
      </c>
      <c r="F146" s="7">
        <v>42552</v>
      </c>
      <c r="G146" s="11">
        <v>19106.484375</v>
      </c>
      <c r="H146" s="7">
        <f t="shared" ref="H146" si="31">F146</f>
        <v>42552</v>
      </c>
      <c r="I146">
        <v>100</v>
      </c>
      <c r="J146" s="11">
        <v>0</v>
      </c>
      <c r="K146" s="11">
        <v>0</v>
      </c>
      <c r="L146" s="7"/>
      <c r="M146" s="11">
        <v>0</v>
      </c>
      <c r="Q146" s="21"/>
      <c r="R146" s="7"/>
    </row>
    <row r="147" spans="1:18">
      <c r="A147" s="10">
        <f t="shared" si="27"/>
        <v>145</v>
      </c>
      <c r="B147" s="12" t="s">
        <v>204</v>
      </c>
      <c r="C147" s="12" t="s">
        <v>241</v>
      </c>
      <c r="D147" s="8" t="s">
        <v>4</v>
      </c>
      <c r="E147" s="13">
        <v>29655</v>
      </c>
      <c r="F147" s="7">
        <v>42578</v>
      </c>
      <c r="G147" s="11">
        <v>5189.0625</v>
      </c>
      <c r="H147" s="7"/>
      <c r="I147" s="7"/>
      <c r="J147" s="11">
        <v>24000</v>
      </c>
      <c r="K147" s="11">
        <f t="shared" ref="K147:K152" si="32">G147</f>
        <v>5189.0625</v>
      </c>
      <c r="L147" s="7">
        <v>45843</v>
      </c>
      <c r="M147" s="11">
        <v>20000</v>
      </c>
      <c r="O147" t="s">
        <v>265</v>
      </c>
      <c r="P147" s="7"/>
      <c r="Q147" s="21"/>
      <c r="R147" s="7"/>
    </row>
    <row r="148" spans="1:18" ht="15" customHeight="1">
      <c r="A148" s="10">
        <f t="shared" si="27"/>
        <v>146</v>
      </c>
      <c r="B148" s="12" t="s">
        <v>81</v>
      </c>
      <c r="C148" s="12" t="s">
        <v>18</v>
      </c>
      <c r="D148" s="8" t="s">
        <v>4</v>
      </c>
      <c r="E148" s="13">
        <v>32781</v>
      </c>
      <c r="F148" s="7">
        <v>42695</v>
      </c>
      <c r="G148" s="11">
        <v>8177.34375</v>
      </c>
      <c r="H148" s="7"/>
      <c r="I148" s="7"/>
      <c r="J148" s="11">
        <v>11129.641892991816</v>
      </c>
      <c r="K148" s="11">
        <f t="shared" si="32"/>
        <v>8177.34375</v>
      </c>
      <c r="L148" s="7"/>
      <c r="M148" s="11">
        <v>0</v>
      </c>
      <c r="Q148" s="21"/>
      <c r="R148" s="7"/>
    </row>
    <row r="149" spans="1:18" ht="15" customHeight="1">
      <c r="A149" s="10">
        <f t="shared" si="27"/>
        <v>147</v>
      </c>
      <c r="B149" s="12" t="s">
        <v>30</v>
      </c>
      <c r="C149" s="12" t="s">
        <v>242</v>
      </c>
      <c r="D149" s="8" t="s">
        <v>1</v>
      </c>
      <c r="E149" s="13">
        <v>29903</v>
      </c>
      <c r="F149" s="7">
        <v>42644</v>
      </c>
      <c r="G149" s="11">
        <v>9173.4375</v>
      </c>
      <c r="H149" s="7"/>
      <c r="I149" s="7"/>
      <c r="J149" s="11">
        <v>12656.966624583238</v>
      </c>
      <c r="K149" s="11">
        <f t="shared" si="32"/>
        <v>9173.4375</v>
      </c>
      <c r="L149" s="7"/>
      <c r="M149" s="11">
        <v>0</v>
      </c>
      <c r="Q149" s="21"/>
      <c r="R149" s="7"/>
    </row>
    <row r="150" spans="1:18" ht="15" customHeight="1">
      <c r="A150" s="10">
        <f t="shared" si="27"/>
        <v>148</v>
      </c>
      <c r="B150" s="12" t="s">
        <v>128</v>
      </c>
      <c r="C150" s="12" t="s">
        <v>243</v>
      </c>
      <c r="D150" s="8" t="s">
        <v>1</v>
      </c>
      <c r="E150" s="13">
        <v>28316</v>
      </c>
      <c r="F150" s="7">
        <v>42651</v>
      </c>
      <c r="G150" s="11">
        <v>7181.25</v>
      </c>
      <c r="H150" s="7"/>
      <c r="I150" s="7"/>
      <c r="J150" s="11">
        <v>10505.294147241761</v>
      </c>
      <c r="K150" s="11">
        <f t="shared" si="32"/>
        <v>7181.25</v>
      </c>
      <c r="L150" s="7"/>
      <c r="M150" s="11">
        <v>0</v>
      </c>
      <c r="Q150" s="21"/>
      <c r="R150" s="7"/>
    </row>
    <row r="151" spans="1:18" ht="15" customHeight="1">
      <c r="A151" s="10">
        <f t="shared" si="27"/>
        <v>149</v>
      </c>
      <c r="B151" s="12" t="s">
        <v>259</v>
      </c>
      <c r="C151" s="12" t="s">
        <v>244</v>
      </c>
      <c r="D151" s="8" t="s">
        <v>4</v>
      </c>
      <c r="E151" s="13">
        <v>30366</v>
      </c>
      <c r="F151" s="7">
        <v>42687</v>
      </c>
      <c r="G151" s="11">
        <v>5109.375</v>
      </c>
      <c r="H151" s="7"/>
      <c r="I151" s="7"/>
      <c r="J151" s="11">
        <v>6507.419872185641</v>
      </c>
      <c r="K151" s="11">
        <f t="shared" si="32"/>
        <v>5109.375</v>
      </c>
      <c r="L151" s="7"/>
      <c r="M151" s="11">
        <v>0</v>
      </c>
      <c r="Q151" s="21"/>
      <c r="R151" s="7"/>
    </row>
    <row r="152" spans="1:18" ht="15" customHeight="1">
      <c r="A152" s="10">
        <f t="shared" si="27"/>
        <v>150</v>
      </c>
      <c r="B152" s="12" t="s">
        <v>131</v>
      </c>
      <c r="C152" s="12" t="s">
        <v>245</v>
      </c>
      <c r="D152" s="8" t="s">
        <v>4</v>
      </c>
      <c r="E152" s="13">
        <v>33687</v>
      </c>
      <c r="F152" s="7">
        <v>42688</v>
      </c>
      <c r="G152" s="11">
        <v>5268.75</v>
      </c>
      <c r="H152" s="7"/>
      <c r="I152" s="7"/>
      <c r="J152" s="11">
        <v>6719.3707338223667</v>
      </c>
      <c r="K152" s="11">
        <f t="shared" si="32"/>
        <v>5268.75</v>
      </c>
      <c r="L152" s="7"/>
      <c r="M152" s="11">
        <v>0</v>
      </c>
      <c r="Q152" s="21"/>
      <c r="R152" s="7"/>
    </row>
  </sheetData>
  <autoFilter ref="A2:Q152" xr:uid="{00000000-0009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51"/>
  <sheetViews>
    <sheetView topLeftCell="D1" workbookViewId="0">
      <selection activeCell="K13" sqref="K13"/>
    </sheetView>
  </sheetViews>
  <sheetFormatPr defaultRowHeight="15"/>
  <cols>
    <col min="11" max="11" width="10.7109375" bestFit="1" customWidth="1"/>
    <col min="12" max="12" width="13.140625" bestFit="1" customWidth="1"/>
    <col min="14" max="14" width="47.7109375" customWidth="1"/>
  </cols>
  <sheetData>
    <row r="3" spans="2:14" ht="45">
      <c r="B3" s="14"/>
      <c r="C3" s="14" t="s">
        <v>268</v>
      </c>
      <c r="D3" s="14"/>
      <c r="E3" s="14"/>
      <c r="F3" s="14" t="s">
        <v>269</v>
      </c>
      <c r="G3" s="14"/>
      <c r="H3" s="14"/>
      <c r="I3" s="14"/>
      <c r="J3" s="14"/>
      <c r="K3" s="15" t="s">
        <v>270</v>
      </c>
      <c r="N3" s="15" t="s">
        <v>280</v>
      </c>
    </row>
    <row r="4" spans="2:14">
      <c r="B4" s="14" t="s">
        <v>271</v>
      </c>
      <c r="C4" s="14" t="s">
        <v>272</v>
      </c>
      <c r="D4" s="14"/>
      <c r="E4" s="14"/>
      <c r="F4" s="16" t="s">
        <v>273</v>
      </c>
      <c r="G4" s="16" t="s">
        <v>266</v>
      </c>
      <c r="H4" s="16" t="s">
        <v>265</v>
      </c>
      <c r="I4" s="14"/>
      <c r="J4" s="14"/>
      <c r="K4" s="14"/>
    </row>
    <row r="5" spans="2:14">
      <c r="B5">
        <v>1</v>
      </c>
      <c r="C5" s="17">
        <v>1.8146499999999999E-2</v>
      </c>
      <c r="F5" s="18" t="s">
        <v>274</v>
      </c>
      <c r="G5" s="19">
        <v>0.1</v>
      </c>
      <c r="H5" s="19">
        <v>0.15</v>
      </c>
      <c r="I5" s="20"/>
      <c r="K5" s="20">
        <v>0.05</v>
      </c>
      <c r="N5" s="1" t="s">
        <v>281</v>
      </c>
    </row>
    <row r="6" spans="2:14">
      <c r="B6">
        <v>2</v>
      </c>
      <c r="C6" s="17">
        <v>1.98745E-2</v>
      </c>
      <c r="F6" s="18" t="s">
        <v>275</v>
      </c>
      <c r="G6" s="19">
        <v>7.0000000000000007E-2</v>
      </c>
      <c r="H6" s="19">
        <v>0.13</v>
      </c>
      <c r="I6" s="20"/>
      <c r="K6" s="20"/>
      <c r="N6" s="1"/>
    </row>
    <row r="7" spans="2:14" ht="45">
      <c r="B7">
        <v>3</v>
      </c>
      <c r="C7" s="17">
        <v>2.1090000000000001E-2</v>
      </c>
      <c r="F7" s="18" t="s">
        <v>276</v>
      </c>
      <c r="G7" s="19">
        <v>0.05</v>
      </c>
      <c r="H7" s="19">
        <v>0.1</v>
      </c>
      <c r="I7" s="20"/>
      <c r="N7" s="1" t="s">
        <v>283</v>
      </c>
    </row>
    <row r="8" spans="2:14">
      <c r="B8">
        <v>4</v>
      </c>
      <c r="C8" s="17">
        <v>2.2095500000000001E-2</v>
      </c>
      <c r="F8" s="18" t="s">
        <v>277</v>
      </c>
      <c r="G8" s="19">
        <v>0.03</v>
      </c>
      <c r="H8" s="19">
        <v>7.0000000000000007E-2</v>
      </c>
      <c r="I8" s="20"/>
    </row>
    <row r="9" spans="2:14">
      <c r="B9">
        <v>5</v>
      </c>
      <c r="C9" s="17">
        <v>2.3014999999999997E-2</v>
      </c>
      <c r="F9" s="18" t="s">
        <v>278</v>
      </c>
      <c r="G9" s="19">
        <v>0.02</v>
      </c>
      <c r="H9" s="19">
        <v>0.03</v>
      </c>
      <c r="I9" s="20"/>
    </row>
    <row r="10" spans="2:14">
      <c r="B10">
        <v>6</v>
      </c>
      <c r="C10" s="17">
        <v>2.3857999999999997E-2</v>
      </c>
    </row>
    <row r="11" spans="2:14" ht="30">
      <c r="B11">
        <v>7</v>
      </c>
      <c r="C11" s="17">
        <v>2.4624999999999998E-2</v>
      </c>
      <c r="G11" s="22"/>
      <c r="H11" s="22"/>
      <c r="K11" s="15" t="s">
        <v>279</v>
      </c>
      <c r="L11" s="15"/>
    </row>
    <row r="12" spans="2:14">
      <c r="B12">
        <v>8</v>
      </c>
      <c r="C12" s="17">
        <v>2.5346E-2</v>
      </c>
      <c r="G12" s="22"/>
      <c r="H12" s="22"/>
      <c r="K12" s="7">
        <v>46203</v>
      </c>
    </row>
    <row r="13" spans="2:14">
      <c r="B13">
        <v>9</v>
      </c>
      <c r="C13" s="17">
        <v>2.6036E-2</v>
      </c>
      <c r="G13" s="22"/>
      <c r="H13" s="22"/>
      <c r="K13" s="14" t="s">
        <v>282</v>
      </c>
    </row>
    <row r="14" spans="2:14">
      <c r="B14">
        <v>10</v>
      </c>
      <c r="C14" s="17">
        <v>2.6703999999999999E-2</v>
      </c>
      <c r="G14" s="22"/>
      <c r="H14" s="22"/>
    </row>
    <row r="15" spans="2:14">
      <c r="B15">
        <v>11</v>
      </c>
      <c r="C15" s="17">
        <v>2.7355000000000001E-2</v>
      </c>
      <c r="G15" s="22"/>
      <c r="H15" s="22"/>
    </row>
    <row r="16" spans="2:14">
      <c r="B16">
        <v>12</v>
      </c>
      <c r="C16" s="17">
        <v>2.7993500000000001E-2</v>
      </c>
      <c r="G16" s="22"/>
      <c r="H16" s="22"/>
    </row>
    <row r="17" spans="2:8">
      <c r="B17">
        <v>13</v>
      </c>
      <c r="C17" s="17">
        <v>2.86205E-2</v>
      </c>
      <c r="G17" s="22"/>
      <c r="H17" s="22"/>
    </row>
    <row r="18" spans="2:8">
      <c r="B18">
        <v>14</v>
      </c>
      <c r="C18" s="17">
        <v>2.9240499999999999E-2</v>
      </c>
      <c r="G18" s="22"/>
      <c r="H18" s="22"/>
    </row>
    <row r="19" spans="2:8">
      <c r="B19">
        <v>15</v>
      </c>
      <c r="C19" s="17">
        <v>2.9854000000000002E-2</v>
      </c>
    </row>
    <row r="20" spans="2:8">
      <c r="B20">
        <v>16</v>
      </c>
      <c r="C20" s="17">
        <v>3.0467500000000005E-2</v>
      </c>
    </row>
    <row r="21" spans="2:8">
      <c r="B21">
        <v>17</v>
      </c>
      <c r="C21" s="17">
        <v>3.1081000000000008E-2</v>
      </c>
    </row>
    <row r="22" spans="2:8">
      <c r="B22">
        <v>18</v>
      </c>
      <c r="C22" s="17">
        <v>3.1694500000000014E-2</v>
      </c>
    </row>
    <row r="23" spans="2:8">
      <c r="B23">
        <v>19</v>
      </c>
      <c r="C23" s="17">
        <v>3.2308000000000017E-2</v>
      </c>
    </row>
    <row r="24" spans="2:8">
      <c r="B24">
        <v>20</v>
      </c>
      <c r="C24" s="17">
        <v>3.292150000000002E-2</v>
      </c>
    </row>
    <row r="25" spans="2:8">
      <c r="B25">
        <v>21</v>
      </c>
      <c r="C25" s="17">
        <v>3.3535000000000023E-2</v>
      </c>
    </row>
    <row r="26" spans="2:8">
      <c r="B26">
        <v>22</v>
      </c>
      <c r="C26" s="17">
        <v>3.4148500000000026E-2</v>
      </c>
    </row>
    <row r="27" spans="2:8">
      <c r="B27">
        <v>23</v>
      </c>
      <c r="C27" s="17">
        <v>3.4762000000000029E-2</v>
      </c>
    </row>
    <row r="28" spans="2:8">
      <c r="B28">
        <v>24</v>
      </c>
      <c r="C28" s="17">
        <v>3.5375500000000032E-2</v>
      </c>
    </row>
    <row r="29" spans="2:8">
      <c r="B29">
        <v>25</v>
      </c>
      <c r="C29" s="17">
        <v>3.5989000000000035E-2</v>
      </c>
    </row>
    <row r="30" spans="2:8">
      <c r="B30">
        <v>26</v>
      </c>
      <c r="C30" s="17">
        <v>3.6602500000000038E-2</v>
      </c>
    </row>
    <row r="31" spans="2:8">
      <c r="B31">
        <v>27</v>
      </c>
      <c r="C31" s="17">
        <v>3.7216000000000041E-2</v>
      </c>
    </row>
    <row r="32" spans="2:8">
      <c r="B32">
        <v>28</v>
      </c>
      <c r="C32" s="17">
        <v>3.7829500000000044E-2</v>
      </c>
    </row>
    <row r="33" spans="2:3">
      <c r="B33">
        <v>29</v>
      </c>
      <c r="C33" s="17">
        <v>3.8443000000000047E-2</v>
      </c>
    </row>
    <row r="34" spans="2:3">
      <c r="B34">
        <v>30</v>
      </c>
      <c r="C34" s="17">
        <v>3.905650000000005E-2</v>
      </c>
    </row>
    <row r="35" spans="2:3">
      <c r="B35">
        <v>31</v>
      </c>
      <c r="C35" s="17">
        <v>3.9670000000000052E-2</v>
      </c>
    </row>
    <row r="36" spans="2:3">
      <c r="B36">
        <v>32</v>
      </c>
      <c r="C36" s="17">
        <v>4.0283500000000055E-2</v>
      </c>
    </row>
    <row r="37" spans="2:3">
      <c r="B37">
        <v>33</v>
      </c>
      <c r="C37" s="17">
        <v>4.0897000000000058E-2</v>
      </c>
    </row>
    <row r="38" spans="2:3">
      <c r="B38">
        <v>34</v>
      </c>
      <c r="C38" s="17">
        <v>4.1510500000000061E-2</v>
      </c>
    </row>
    <row r="39" spans="2:3">
      <c r="B39">
        <v>35</v>
      </c>
      <c r="C39" s="17">
        <v>4.2124000000000064E-2</v>
      </c>
    </row>
    <row r="40" spans="2:3">
      <c r="B40">
        <v>36</v>
      </c>
      <c r="C40" s="17">
        <v>4.2737500000000067E-2</v>
      </c>
    </row>
    <row r="41" spans="2:3">
      <c r="B41">
        <v>37</v>
      </c>
      <c r="C41" s="17">
        <v>4.335100000000007E-2</v>
      </c>
    </row>
    <row r="42" spans="2:3">
      <c r="B42">
        <v>38</v>
      </c>
      <c r="C42" s="17">
        <v>4.3964500000000073E-2</v>
      </c>
    </row>
    <row r="43" spans="2:3">
      <c r="B43">
        <v>39</v>
      </c>
      <c r="C43" s="17">
        <v>4.4578000000000076E-2</v>
      </c>
    </row>
    <row r="44" spans="2:3">
      <c r="B44">
        <v>40</v>
      </c>
      <c r="C44" s="17">
        <v>4.5191500000000079E-2</v>
      </c>
    </row>
    <row r="45" spans="2:3">
      <c r="B45">
        <v>41</v>
      </c>
      <c r="C45" s="17">
        <v>4.5805000000000082E-2</v>
      </c>
    </row>
    <row r="46" spans="2:3">
      <c r="B46">
        <v>42</v>
      </c>
      <c r="C46" s="17">
        <v>4.6418500000000085E-2</v>
      </c>
    </row>
    <row r="47" spans="2:3">
      <c r="B47">
        <v>43</v>
      </c>
      <c r="C47" s="17">
        <v>4.7032000000000088E-2</v>
      </c>
    </row>
    <row r="48" spans="2:3">
      <c r="B48">
        <v>44</v>
      </c>
      <c r="C48" s="17">
        <v>4.7645500000000091E-2</v>
      </c>
    </row>
    <row r="49" spans="2:3">
      <c r="B49">
        <v>45</v>
      </c>
      <c r="C49" s="17">
        <v>4.8259000000000093E-2</v>
      </c>
    </row>
    <row r="50" spans="2:3">
      <c r="B50">
        <v>46</v>
      </c>
      <c r="C50" s="17">
        <v>4.8872500000000096E-2</v>
      </c>
    </row>
    <row r="51" spans="2:3">
      <c r="B51">
        <v>47</v>
      </c>
      <c r="C51" s="17">
        <v>4.9486000000000099E-2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הנחות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Anna Miroshnik</cp:lastModifiedBy>
  <dcterms:created xsi:type="dcterms:W3CDTF">2020-05-02T08:42:09Z</dcterms:created>
  <dcterms:modified xsi:type="dcterms:W3CDTF">2026-03-29T16:11:38Z</dcterms:modified>
</cp:coreProperties>
</file>