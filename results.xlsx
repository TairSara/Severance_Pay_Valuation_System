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mir\Desktop\economic aplications\2026\"/>
    </mc:Choice>
  </mc:AlternateContent>
  <xr:revisionPtr revIDLastSave="0" documentId="13_ncr:1_{A12587CE-A7BA-476C-B73D-D0FE54204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  <sheet name="Sheet3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45113.3356944444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1" i="1"/>
  <c r="AF12" i="1"/>
  <c r="AF13" i="1"/>
  <c r="AF14" i="1"/>
  <c r="AF15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2" i="1"/>
  <c r="Z3" i="1"/>
  <c r="Z4" i="1"/>
  <c r="Z5" i="1"/>
  <c r="Z6" i="1"/>
  <c r="Z7" i="1"/>
  <c r="Z8" i="1"/>
  <c r="Z9" i="1"/>
  <c r="Z11" i="1"/>
  <c r="Z12" i="1"/>
  <c r="Z13" i="1"/>
  <c r="Z14" i="1"/>
  <c r="Z15" i="1"/>
  <c r="Z2" i="1"/>
  <c r="W4" i="1"/>
  <c r="W5" i="1"/>
  <c r="W6" i="1"/>
  <c r="W7" i="1"/>
  <c r="W8" i="1"/>
  <c r="W9" i="1"/>
  <c r="W11" i="1"/>
  <c r="W12" i="1"/>
  <c r="W13" i="1"/>
  <c r="W14" i="1"/>
  <c r="W15" i="1"/>
  <c r="W3" i="1"/>
  <c r="T3" i="1"/>
  <c r="T4" i="1"/>
  <c r="T5" i="1"/>
  <c r="T6" i="1"/>
  <c r="T7" i="1"/>
  <c r="T8" i="1"/>
  <c r="T9" i="1"/>
  <c r="T11" i="1"/>
  <c r="T12" i="1"/>
  <c r="T13" i="1"/>
  <c r="T14" i="1"/>
  <c r="T15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K4" i="1"/>
  <c r="K5" i="1"/>
  <c r="K6" i="1"/>
  <c r="K8" i="1"/>
  <c r="K10" i="1"/>
  <c r="K11" i="1"/>
  <c r="K12" i="1"/>
  <c r="K13" i="1"/>
  <c r="K14" i="1"/>
  <c r="K15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</calcChain>
</file>

<file path=xl/sharedStrings.xml><?xml version="1.0" encoding="utf-8"?>
<sst xmlns="http://schemas.openxmlformats.org/spreadsheetml/2006/main" count="11" uniqueCount="11">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</sst>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 * #,##0.00_ ;_ * \-#,##0.00_ ;_ * &quot;-&quot;??_ ;_ @_ 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General_)"/>
    <numFmt numFmtId="168" formatCode="#,###,###,###,###,###,###,###,###,###,###,###,###"/>
    <numFmt numFmtId="169" formatCode="dd\-mmm\-yyyy"/>
    <numFmt numFmtId="170" formatCode="#,##0.00########"/>
    <numFmt numFmtId="171" formatCode="#,##0.00%"/>
    <numFmt numFmtId="172" formatCode="\+* #,##0.00;[Red]\-* #,##0.00"/>
    <numFmt numFmtId="173" formatCode="\+* #,##0;[Red]\-* #,##0"/>
    <numFmt numFmtId="174" formatCode="\ * #,##0;[Red]\-* #,##0"/>
    <numFmt numFmtId="175" formatCode="_-[$€-2]* #,##0.00_-;\-[$€-2]* #,##0.00_-;_-[$€-2]* &quot;-&quot;??_-"/>
    <numFmt numFmtId="176" formatCode="#.00"/>
    <numFmt numFmtId="177" formatCode="_-* #,##0.00;\-* #,##0.00;_-* &quot;-&quot;??;_-@_-"/>
    <numFmt numFmtId="178" formatCode="#."/>
    <numFmt numFmtId="179" formatCode="d\ mmmm\ yyyy"/>
    <numFmt numFmtId="180" formatCode="_-* #,##0.00\ _B_F_-;\-* #,##0.00\ _B_F_-;_-* &quot;-&quot;??\ _B_F_-;_-@_-"/>
    <numFmt numFmtId="181" formatCode="_ &quot;SFr.&quot;\ * #,##0_ ;_ &quot;SFr.&quot;\ * \-#,##0_ ;_ &quot;SFr.&quot;\ * &quot;-&quot;_ ;_ @_ "/>
    <numFmt numFmtId="182" formatCode="_ &quot;SFr.&quot;\ * #,##0.00_ ;_ &quot;SFr.&quot;\ * \-#,##0.00_ ;_ &quot;SFr.&quot;\ * &quot;-&quot;??_ ;_ @_ "/>
    <numFmt numFmtId="183" formatCode="dd\ mmm\ yyyy"/>
    <numFmt numFmtId="184" formatCode="###,###.##"/>
    <numFmt numFmtId="185" formatCode="_-&quot;L.&quot;\ * #,##0_-;\-&quot;L.&quot;\ * #,##0_-;_-&quot;L.&quot;\ * &quot;-&quot;_-;_-@_-"/>
    <numFmt numFmtId="186" formatCode="&quot;Fr.&quot;\+* #,##0.00;[Red]&quot;Fr.&quot;\-* #,##0.00"/>
    <numFmt numFmtId="187" formatCode="&quot;Fr.&quot;\+* #,##0;[Red]&quot;Fr.&quot;\-* #,##0"/>
    <numFmt numFmtId="188" formatCode="&quot;Fr.&quot;\ * #,##0;[Red]&quot;Fr.&quot;\-* #,##0"/>
  </numFmts>
  <fonts count="9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52"/>
      <name val="Arial"/>
      <family val="2"/>
      <charset val="177"/>
    </font>
    <font>
      <b/>
      <sz val="11"/>
      <color indexed="9"/>
      <name val="Arial"/>
      <family val="2"/>
      <charset val="177"/>
    </font>
    <font>
      <i/>
      <sz val="11"/>
      <color indexed="23"/>
      <name val="Arial"/>
      <family val="2"/>
      <charset val="177"/>
    </font>
    <font>
      <sz val="11"/>
      <color indexed="17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63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8"/>
      <name val="Calibri"/>
      <family val="2"/>
      <charset val="177"/>
    </font>
    <font>
      <sz val="11"/>
      <color indexed="9"/>
      <name val="Calibri"/>
      <family val="2"/>
      <charset val="177"/>
    </font>
    <font>
      <b/>
      <sz val="11"/>
      <color indexed="52"/>
      <name val="Calibri"/>
      <family val="2"/>
      <charset val="177"/>
    </font>
    <font>
      <sz val="11"/>
      <color indexed="17"/>
      <name val="Calibri"/>
      <family val="2"/>
      <charset val="177"/>
    </font>
    <font>
      <sz val="11"/>
      <color indexed="10"/>
      <name val="Calibri"/>
      <family val="2"/>
      <charset val="177"/>
    </font>
    <font>
      <i/>
      <sz val="11"/>
      <color indexed="23"/>
      <name val="Calibri"/>
      <family val="2"/>
      <charset val="177"/>
    </font>
    <font>
      <b/>
      <sz val="18"/>
      <color indexed="62"/>
      <name val="Cambria"/>
      <family val="2"/>
      <charset val="177"/>
    </font>
    <font>
      <b/>
      <sz val="15"/>
      <color indexed="62"/>
      <name val="Calibri"/>
      <family val="2"/>
      <charset val="177"/>
    </font>
    <font>
      <b/>
      <sz val="13"/>
      <color indexed="62"/>
      <name val="Calibri"/>
      <family val="2"/>
      <charset val="177"/>
    </font>
    <font>
      <b/>
      <sz val="11"/>
      <color indexed="62"/>
      <name val="Calibri"/>
      <family val="2"/>
      <charset val="177"/>
    </font>
    <font>
      <sz val="11"/>
      <color indexed="60"/>
      <name val="Calibri"/>
      <family val="2"/>
      <charset val="177"/>
    </font>
    <font>
      <b/>
      <sz val="11"/>
      <color indexed="8"/>
      <name val="Calibri"/>
      <family val="2"/>
      <charset val="177"/>
    </font>
    <font>
      <b/>
      <sz val="11"/>
      <color indexed="63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9"/>
      <name val="Calibri"/>
      <family val="2"/>
      <charset val="177"/>
    </font>
    <font>
      <sz val="11"/>
      <color indexed="52"/>
      <name val="Calibri"/>
      <family val="2"/>
      <charset val="177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sz val="10"/>
      <name val="Helv"/>
    </font>
    <font>
      <sz val="10"/>
      <name val="Helv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name val="Switzerland"/>
      <family val="2"/>
      <charset val="177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7"/>
      <name val="Switzerland"/>
      <family val="2"/>
      <charset val="177"/>
    </font>
    <font>
      <sz val="9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"/>
      <color indexed="8"/>
      <name val="Courier"/>
      <family val="3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3"/>
      <name val="Arial"/>
      <family val="2"/>
    </font>
    <font>
      <b/>
      <u/>
      <sz val="9"/>
      <name val="Arial"/>
      <family val="2"/>
    </font>
    <font>
      <i/>
      <sz val="9"/>
      <name val="Arial"/>
      <family val="2"/>
    </font>
    <font>
      <b/>
      <sz val="1"/>
      <color indexed="8"/>
      <name val="Courier"/>
      <family val="3"/>
    </font>
    <font>
      <sz val="11"/>
      <color indexed="20"/>
      <name val="Calibri"/>
      <family val="2"/>
    </font>
    <font>
      <b/>
      <sz val="8"/>
      <name val="Switzerland"/>
      <family val="2"/>
      <charset val="177"/>
    </font>
    <font>
      <sz val="11"/>
      <color indexed="60"/>
      <name val="Calibri"/>
      <family val="2"/>
    </font>
    <font>
      <sz val="12"/>
      <name val="Courier"/>
      <family val="3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b/>
      <sz val="18"/>
      <color indexed="62"/>
      <name val="Cambria"/>
      <family val="2"/>
    </font>
    <font>
      <sz val="10"/>
      <name val="Helv"/>
      <charset val="204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6"/>
      <name val="Switzerland"/>
      <family val="2"/>
      <charset val="177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1"/>
    </font>
    <font>
      <b/>
      <sz val="6"/>
      <name val="Switzerland"/>
      <family val="2"/>
      <charset val="177"/>
    </font>
    <font>
      <sz val="11"/>
      <color theme="1"/>
      <name val="Calibri"/>
      <family val="2"/>
      <charset val="177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8"/>
      </patternFill>
    </fill>
    <fill>
      <patternFill patternType="solid">
        <fgColor indexed="5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4"/>
        <bgColor indexed="41"/>
      </patternFill>
    </fill>
    <fill>
      <patternFill patternType="solid">
        <fgColor indexed="25"/>
        <bgColor indexed="64"/>
      </patternFill>
    </fill>
    <fill>
      <patternFill patternType="solid">
        <fgColor indexed="43"/>
      </patternFill>
    </fill>
    <fill>
      <patternFill patternType="solid">
        <fgColor indexed="50"/>
      </patternFill>
    </fill>
    <fill>
      <patternFill patternType="lightGray">
        <fgColor indexed="26"/>
      </patternFill>
    </fill>
    <fill>
      <patternFill patternType="solid">
        <fgColor indexed="54"/>
        <bgColor indexed="64"/>
      </patternFill>
    </fill>
    <fill>
      <patternFill patternType="mediumGray">
        <fgColor indexed="51"/>
      </patternFill>
    </fill>
    <fill>
      <patternFill patternType="lightGray">
        <fgColor indexed="43"/>
        <b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41"/>
      </patternFill>
    </fill>
    <fill>
      <patternFill patternType="solid">
        <fgColor indexed="54"/>
      </patternFill>
    </fill>
  </fills>
  <borders count="18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09">
    <xf numFmtId="0" fontId="0" fillId="0" borderId="0"/>
    <xf numFmtId="0" fontId="1" fillId="0" borderId="0"/>
    <xf numFmtId="0" fontId="2" fillId="0" borderId="0"/>
    <xf numFmtId="0" fontId="2" fillId="0" borderId="0"/>
    <xf numFmtId="0" fontId="42" fillId="0" borderId="0"/>
    <xf numFmtId="0" fontId="43" fillId="0" borderId="0"/>
    <xf numFmtId="0" fontId="43" fillId="0" borderId="0"/>
    <xf numFmtId="0" fontId="2" fillId="2" borderId="0"/>
    <xf numFmtId="0" fontId="2" fillId="2" borderId="0"/>
    <xf numFmtId="0" fontId="44" fillId="2" borderId="0"/>
    <xf numFmtId="0" fontId="45" fillId="2" borderId="0"/>
    <xf numFmtId="0" fontId="46" fillId="2" borderId="0"/>
    <xf numFmtId="0" fontId="46" fillId="2" borderId="0"/>
    <xf numFmtId="0" fontId="47" fillId="2" borderId="0"/>
    <xf numFmtId="0" fontId="48" fillId="2" borderId="0"/>
    <xf numFmtId="0" fontId="49" fillId="2" borderId="0"/>
    <xf numFmtId="166" fontId="2" fillId="3" borderId="1"/>
    <xf numFmtId="166" fontId="2" fillId="3" borderId="1"/>
    <xf numFmtId="0" fontId="42" fillId="0" borderId="0"/>
    <xf numFmtId="0" fontId="43" fillId="0" borderId="0"/>
    <xf numFmtId="0" fontId="42" fillId="0" borderId="0"/>
    <xf numFmtId="0" fontId="43" fillId="0" borderId="0"/>
    <xf numFmtId="0" fontId="45" fillId="3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2" borderId="0"/>
    <xf numFmtId="0" fontId="2" fillId="2" borderId="0"/>
    <xf numFmtId="0" fontId="44" fillId="2" borderId="0"/>
    <xf numFmtId="0" fontId="45" fillId="2" borderId="0"/>
    <xf numFmtId="0" fontId="2" fillId="2" borderId="0"/>
    <xf numFmtId="0" fontId="47" fillId="2" borderId="0"/>
    <xf numFmtId="0" fontId="48" fillId="2" borderId="0"/>
    <xf numFmtId="0" fontId="49" fillId="2" borderId="0"/>
    <xf numFmtId="0" fontId="42" fillId="0" borderId="0"/>
    <xf numFmtId="0" fontId="43" fillId="0" borderId="0"/>
    <xf numFmtId="0" fontId="42" fillId="0" borderId="0"/>
    <xf numFmtId="0" fontId="43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7" borderId="0" applyNumberFormat="0" applyBorder="0" applyAlignment="0" applyProtection="0"/>
    <xf numFmtId="0" fontId="50" fillId="14" borderId="0" applyNumberFormat="0" applyBorder="0" applyAlignment="0" applyProtection="0"/>
    <xf numFmtId="0" fontId="50" fillId="17" borderId="0" applyNumberFormat="0" applyBorder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7" borderId="0" applyNumberFormat="0" applyBorder="0" applyAlignment="0" applyProtection="0"/>
    <xf numFmtId="0" fontId="50" fillId="14" borderId="0" applyNumberFormat="0" applyBorder="0" applyAlignment="0" applyProtection="0"/>
    <xf numFmtId="0" fontId="50" fillId="17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51" fillId="19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2" borderId="0" applyNumberFormat="0" applyBorder="0" applyAlignment="0" applyProtection="0"/>
    <xf numFmtId="0" fontId="51" fillId="19" borderId="0" applyNumberFormat="0" applyBorder="0" applyAlignment="0" applyProtection="0"/>
    <xf numFmtId="0" fontId="51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22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6" fillId="23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51" fillId="26" borderId="0" applyNumberFormat="0" applyBorder="0" applyAlignment="0" applyProtection="0"/>
    <xf numFmtId="0" fontId="6" fillId="27" borderId="0" applyNumberFormat="0" applyBorder="0" applyAlignment="0" applyProtection="0"/>
    <xf numFmtId="0" fontId="50" fillId="28" borderId="0" applyNumberFormat="0" applyBorder="0" applyAlignment="0" applyProtection="0"/>
    <xf numFmtId="0" fontId="50" fillId="29" borderId="0" applyNumberFormat="0" applyBorder="0" applyAlignment="0" applyProtection="0"/>
    <xf numFmtId="0" fontId="51" fillId="30" borderId="0" applyNumberFormat="0" applyBorder="0" applyAlignment="0" applyProtection="0"/>
    <xf numFmtId="0" fontId="6" fillId="31" borderId="0" applyNumberFormat="0" applyBorder="0" applyAlignment="0" applyProtection="0"/>
    <xf numFmtId="0" fontId="50" fillId="32" borderId="0" applyNumberFormat="0" applyBorder="0" applyAlignment="0" applyProtection="0"/>
    <xf numFmtId="0" fontId="50" fillId="33" borderId="0" applyNumberFormat="0" applyBorder="0" applyAlignment="0" applyProtection="0"/>
    <xf numFmtId="0" fontId="51" fillId="34" borderId="0" applyNumberFormat="0" applyBorder="0" applyAlignment="0" applyProtection="0"/>
    <xf numFmtId="0" fontId="6" fillId="20" borderId="0" applyNumberFormat="0" applyBorder="0" applyAlignment="0" applyProtection="0"/>
    <xf numFmtId="0" fontId="50" fillId="33" borderId="0" applyNumberFormat="0" applyBorder="0" applyAlignment="0" applyProtection="0"/>
    <xf numFmtId="0" fontId="50" fillId="34" borderId="0" applyNumberFormat="0" applyBorder="0" applyAlignment="0" applyProtection="0"/>
    <xf numFmtId="0" fontId="51" fillId="34" borderId="0" applyNumberFormat="0" applyBorder="0" applyAlignment="0" applyProtection="0"/>
    <xf numFmtId="0" fontId="6" fillId="21" borderId="0" applyNumberFormat="0" applyBorder="0" applyAlignment="0" applyProtection="0"/>
    <xf numFmtId="0" fontId="50" fillId="24" borderId="0" applyNumberFormat="0" applyBorder="0" applyAlignment="0" applyProtection="0"/>
    <xf numFmtId="0" fontId="50" fillId="25" borderId="0" applyNumberFormat="0" applyBorder="0" applyAlignment="0" applyProtection="0"/>
    <xf numFmtId="0" fontId="51" fillId="25" borderId="0" applyNumberFormat="0" applyBorder="0" applyAlignment="0" applyProtection="0"/>
    <xf numFmtId="0" fontId="6" fillId="35" borderId="0" applyNumberFormat="0" applyBorder="0" applyAlignment="0" applyProtection="0"/>
    <xf numFmtId="0" fontId="50" fillId="36" borderId="0" applyNumberFormat="0" applyBorder="0" applyAlignment="0" applyProtection="0"/>
    <xf numFmtId="0" fontId="50" fillId="29" borderId="0" applyNumberFormat="0" applyBorder="0" applyAlignment="0" applyProtection="0"/>
    <xf numFmtId="0" fontId="51" fillId="37" borderId="0" applyNumberFormat="0" applyBorder="0" applyAlignment="0" applyProtection="0"/>
    <xf numFmtId="10" fontId="3" fillId="0" borderId="0">
      <alignment horizontal="right"/>
    </xf>
    <xf numFmtId="0" fontId="7" fillId="5" borderId="0" applyNumberFormat="0" applyBorder="0" applyAlignment="0" applyProtection="0"/>
    <xf numFmtId="167" fontId="52" fillId="0" borderId="0" applyNumberFormat="0" applyFill="0" applyBorder="0" applyProtection="0"/>
    <xf numFmtId="0" fontId="53" fillId="6" borderId="0" applyNumberFormat="0" applyBorder="0" applyAlignment="0" applyProtection="0"/>
    <xf numFmtId="0" fontId="54" fillId="18" borderId="2" applyNumberFormat="0" applyAlignment="0" applyProtection="0"/>
    <xf numFmtId="0" fontId="8" fillId="18" borderId="2" applyNumberFormat="0" applyAlignment="0" applyProtection="0"/>
    <xf numFmtId="0" fontId="54" fillId="18" borderId="2" applyNumberFormat="0" applyAlignment="0" applyProtection="0"/>
    <xf numFmtId="0" fontId="55" fillId="38" borderId="3" applyNumberFormat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55" fillId="38" borderId="3" applyNumberFormat="0" applyAlignment="0" applyProtection="0"/>
    <xf numFmtId="0" fontId="9" fillId="38" borderId="3" applyNumberFormat="0" applyAlignment="0" applyProtection="0"/>
    <xf numFmtId="167" fontId="57" fillId="0" borderId="0" applyNumberFormat="0" applyFill="0" applyBorder="0" applyProtection="0">
      <alignment horizontal="center"/>
    </xf>
    <xf numFmtId="0" fontId="51" fillId="23" borderId="0" applyNumberFormat="0" applyBorder="0" applyAlignment="0" applyProtection="0"/>
    <xf numFmtId="0" fontId="51" fillId="27" borderId="0" applyNumberFormat="0" applyBorder="0" applyAlignment="0" applyProtection="0"/>
    <xf numFmtId="0" fontId="51" fillId="31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35" borderId="0" applyNumberFormat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NumberFormat="0" applyFont="0" applyFill="0" applyBorder="0" applyAlignment="0" applyProtection="0">
      <alignment horizontal="left" vertical="top"/>
    </xf>
    <xf numFmtId="168" fontId="2" fillId="0" borderId="0" applyNumberFormat="0" applyFont="0" applyFill="0" applyBorder="0" applyAlignment="0" applyProtection="0">
      <alignment horizontal="left" vertical="top"/>
      <protection locked="0"/>
    </xf>
    <xf numFmtId="169" fontId="2" fillId="0" borderId="0" applyNumberFormat="0" applyFont="0" applyFill="0" applyBorder="0" applyAlignment="0" applyProtection="0">
      <alignment horizontal="left" vertical="top"/>
    </xf>
    <xf numFmtId="169" fontId="2" fillId="0" borderId="0" applyNumberFormat="0" applyFont="0" applyFill="0" applyBorder="0" applyAlignment="0" applyProtection="0">
      <alignment horizontal="left" vertical="top"/>
      <protection locked="0"/>
    </xf>
    <xf numFmtId="170" fontId="2" fillId="0" borderId="0" applyNumberFormat="0" applyFont="0" applyFill="0" applyBorder="0" applyAlignment="0" applyProtection="0">
      <alignment horizontal="left" vertical="top"/>
    </xf>
    <xf numFmtId="170" fontId="2" fillId="0" borderId="0" applyNumberFormat="0" applyFont="0" applyFill="0" applyBorder="0" applyAlignment="0" applyProtection="0">
      <alignment horizontal="left" vertical="top"/>
      <protection locked="0"/>
    </xf>
    <xf numFmtId="171" fontId="2" fillId="0" borderId="0" applyNumberFormat="0" applyFont="0" applyFill="0" applyBorder="0" applyAlignment="0" applyProtection="0">
      <alignment horizontal="left" vertical="top"/>
    </xf>
    <xf numFmtId="171" fontId="2" fillId="0" borderId="0" applyNumberFormat="0" applyFont="0" applyFill="0" applyBorder="0" applyAlignment="0" applyProtection="0">
      <alignment horizontal="left" vertical="top"/>
      <protection locked="0"/>
    </xf>
    <xf numFmtId="1" fontId="58" fillId="0" borderId="0" applyNumberFormat="0" applyFill="0" applyBorder="0" applyAlignment="0"/>
    <xf numFmtId="165" fontId="2" fillId="39" borderId="0"/>
    <xf numFmtId="14" fontId="49" fillId="0" borderId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65" fontId="2" fillId="40" borderId="5"/>
    <xf numFmtId="0" fontId="59" fillId="41" borderId="0" applyNumberFormat="0" applyBorder="0" applyAlignment="0" applyProtection="0"/>
    <xf numFmtId="0" fontId="59" fillId="42" borderId="0" applyNumberFormat="0" applyBorder="0" applyAlignment="0" applyProtection="0"/>
    <xf numFmtId="0" fontId="59" fillId="43" borderId="0" applyNumberFormat="0" applyBorder="0" applyAlignment="0" applyProtection="0"/>
    <xf numFmtId="0" fontId="60" fillId="0" borderId="0" applyNumberFormat="0" applyFill="0" applyBorder="0" applyAlignment="0" applyProtection="0"/>
    <xf numFmtId="0" fontId="51" fillId="23" borderId="0" applyNumberFormat="0" applyBorder="0" applyAlignment="0" applyProtection="0"/>
    <xf numFmtId="0" fontId="51" fillId="27" borderId="0" applyNumberFormat="0" applyBorder="0" applyAlignment="0" applyProtection="0"/>
    <xf numFmtId="0" fontId="51" fillId="31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1" fillId="35" borderId="0" applyNumberFormat="0" applyBorder="0" applyAlignment="0" applyProtection="0"/>
    <xf numFmtId="0" fontId="61" fillId="9" borderId="2" applyNumberFormat="0" applyAlignment="0" applyProtection="0"/>
    <xf numFmtId="175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76" fontId="62" fillId="0" borderId="0">
      <protection locked="0"/>
    </xf>
    <xf numFmtId="1" fontId="49" fillId="0" borderId="0"/>
    <xf numFmtId="167" fontId="63" fillId="0" borderId="0" applyNumberFormat="0" applyFill="0" applyBorder="0" applyProtection="0"/>
    <xf numFmtId="177" fontId="2" fillId="44" borderId="6"/>
    <xf numFmtId="49" fontId="44" fillId="45" borderId="6" applyFont="0"/>
    <xf numFmtId="0" fontId="11" fillId="6" borderId="0" applyNumberFormat="0" applyBorder="0" applyAlignment="0" applyProtection="0"/>
    <xf numFmtId="167" fontId="64" fillId="0" borderId="0" applyNumberFormat="0" applyFill="0" applyBorder="0" applyProtection="0">
      <alignment horizontal="centerContinuous"/>
    </xf>
    <xf numFmtId="0" fontId="65" fillId="0" borderId="0" applyNumberFormat="0" applyFont="0" applyFill="0" applyBorder="0" applyAlignment="0" applyProtection="0">
      <alignment horizontal="left" vertical="top"/>
    </xf>
    <xf numFmtId="0" fontId="41" fillId="0" borderId="0" applyNumberFormat="0" applyFont="0" applyFill="0" applyBorder="0" applyAlignment="0" applyProtection="0">
      <alignment horizontal="left" vertical="top" wrapText="1"/>
    </xf>
    <xf numFmtId="0" fontId="46" fillId="0" borderId="0" applyNumberFormat="0" applyFont="0" applyFill="0" applyBorder="0" applyAlignment="0" applyProtection="0">
      <alignment horizontal="left" vertical="top" wrapText="1"/>
    </xf>
    <xf numFmtId="0" fontId="66" fillId="0" borderId="0" applyNumberFormat="0" applyFont="0" applyFill="0" applyBorder="0" applyAlignment="0" applyProtection="0">
      <alignment horizontal="left" vertical="top" wrapText="1"/>
    </xf>
    <xf numFmtId="0" fontId="47" fillId="0" borderId="0" applyNumberFormat="0" applyFont="0" applyFill="0" applyBorder="0" applyAlignment="0" applyProtection="0">
      <alignment horizontal="left" vertical="top" wrapText="1"/>
    </xf>
    <xf numFmtId="0" fontId="67" fillId="0" borderId="0" applyNumberFormat="0" applyFont="0" applyFill="0" applyBorder="0" applyAlignment="0" applyProtection="0">
      <alignment horizontal="left" vertical="top"/>
    </xf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178" fontId="68" fillId="0" borderId="0">
      <protection locked="0"/>
    </xf>
    <xf numFmtId="178" fontId="68" fillId="0" borderId="0">
      <protection locked="0"/>
    </xf>
    <xf numFmtId="0" fontId="2" fillId="0" borderId="0" applyNumberFormat="0" applyFont="0" applyFill="0" applyBorder="0" applyAlignment="0" applyProtection="0">
      <alignment horizontal="left" vertical="top" wrapText="1"/>
    </xf>
    <xf numFmtId="0" fontId="69" fillId="5" borderId="0" applyNumberFormat="0" applyBorder="0" applyAlignment="0" applyProtection="0"/>
    <xf numFmtId="0" fontId="15" fillId="9" borderId="2" applyNumberFormat="0" applyAlignment="0" applyProtection="0"/>
    <xf numFmtId="0" fontId="16" fillId="0" borderId="4" applyNumberFormat="0" applyFill="0" applyAlignment="0" applyProtection="0"/>
    <xf numFmtId="179" fontId="2" fillId="0" borderId="0" applyFont="0" applyFill="0" applyBorder="0" applyAlignment="0" applyProtection="0"/>
    <xf numFmtId="167" fontId="70" fillId="0" borderId="0" applyNumberFormat="0" applyFill="0" applyBorder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67" fontId="52" fillId="0" borderId="0" applyNumberFormat="0" applyFill="0" applyBorder="0" applyProtection="0">
      <alignment horizontal="centerContinuous"/>
    </xf>
    <xf numFmtId="0" fontId="17" fillId="46" borderId="0" applyNumberFormat="0" applyBorder="0" applyAlignment="0" applyProtection="0"/>
    <xf numFmtId="0" fontId="71" fillId="46" borderId="0" applyNumberFormat="0" applyBorder="0" applyAlignment="0" applyProtection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90" fillId="0" borderId="0"/>
    <xf numFmtId="0" fontId="2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2" fillId="0" borderId="0"/>
    <xf numFmtId="167" fontId="72" fillId="0" borderId="0"/>
    <xf numFmtId="0" fontId="90" fillId="0" borderId="0"/>
    <xf numFmtId="0" fontId="4" fillId="0" borderId="0"/>
    <xf numFmtId="0" fontId="73" fillId="12" borderId="10" applyNumberFormat="0" applyFont="0" applyAlignment="0" applyProtection="0"/>
    <xf numFmtId="0" fontId="2" fillId="12" borderId="10" applyNumberFormat="0" applyFont="0" applyAlignment="0" applyProtection="0"/>
    <xf numFmtId="0" fontId="1" fillId="12" borderId="10" applyNumberFormat="0" applyFont="0" applyAlignment="0" applyProtection="0"/>
    <xf numFmtId="0" fontId="2" fillId="12" borderId="10" applyNumberFormat="0" applyFont="0" applyAlignment="0" applyProtection="0"/>
    <xf numFmtId="10" fontId="2" fillId="0" borderId="0" applyNumberFormat="0" applyFont="0" applyFill="0" applyBorder="0" applyAlignment="0" applyProtection="0">
      <alignment horizontal="left" vertical="top"/>
    </xf>
    <xf numFmtId="10" fontId="2" fillId="0" borderId="0" applyNumberFormat="0" applyFont="0" applyFill="0" applyBorder="0" applyAlignment="0" applyProtection="0">
      <alignment horizontal="left" vertical="top"/>
      <protection locked="0"/>
    </xf>
    <xf numFmtId="3" fontId="2" fillId="0" borderId="0" applyNumberFormat="0" applyFont="0" applyFill="0" applyBorder="0" applyAlignment="0" applyProtection="0">
      <alignment horizontal="left" vertical="top"/>
    </xf>
    <xf numFmtId="3" fontId="2" fillId="0" borderId="0" applyNumberFormat="0" applyFont="0" applyFill="0" applyBorder="0" applyAlignment="0" applyProtection="0">
      <alignment horizontal="left" vertical="top"/>
      <protection locked="0"/>
    </xf>
    <xf numFmtId="4" fontId="2" fillId="0" borderId="0" applyNumberFormat="0" applyFont="0" applyFill="0" applyBorder="0" applyAlignment="0" applyProtection="0">
      <alignment horizontal="left" vertical="top"/>
    </xf>
    <xf numFmtId="4" fontId="2" fillId="0" borderId="0" applyNumberFormat="0" applyFont="0" applyFill="0" applyBorder="0" applyAlignment="0" applyProtection="0">
      <alignment horizontal="left" vertical="top"/>
      <protection locked="0"/>
    </xf>
    <xf numFmtId="0" fontId="18" fillId="18" borderId="11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4" fillId="18" borderId="11" applyNumberFormat="0" applyAlignment="0" applyProtection="0"/>
    <xf numFmtId="4" fontId="40" fillId="46" borderId="12" applyNumberFormat="0" applyProtection="0">
      <alignment vertical="center"/>
    </xf>
    <xf numFmtId="4" fontId="75" fillId="40" borderId="12" applyNumberFormat="0" applyProtection="0">
      <alignment vertical="center"/>
    </xf>
    <xf numFmtId="4" fontId="40" fillId="40" borderId="12" applyNumberFormat="0" applyProtection="0">
      <alignment horizontal="left" vertical="center" indent="1"/>
    </xf>
    <xf numFmtId="0" fontId="40" fillId="40" borderId="12" applyNumberFormat="0" applyProtection="0">
      <alignment horizontal="left" vertical="top" indent="1"/>
    </xf>
    <xf numFmtId="4" fontId="58" fillId="36" borderId="0" applyNumberFormat="0" applyProtection="0">
      <alignment horizontal="left" vertical="center" indent="1"/>
    </xf>
    <xf numFmtId="4" fontId="4" fillId="5" borderId="12" applyNumberFormat="0" applyProtection="0">
      <alignment horizontal="right" vertical="center"/>
    </xf>
    <xf numFmtId="4" fontId="4" fillId="15" borderId="12" applyNumberFormat="0" applyProtection="0">
      <alignment horizontal="right" vertical="center"/>
    </xf>
    <xf numFmtId="4" fontId="4" fillId="27" borderId="12" applyNumberFormat="0" applyProtection="0">
      <alignment horizontal="right" vertical="center"/>
    </xf>
    <xf numFmtId="4" fontId="4" fillId="17" borderId="12" applyNumberFormat="0" applyProtection="0">
      <alignment horizontal="right" vertical="center"/>
    </xf>
    <xf numFmtId="4" fontId="4" fillId="22" borderId="12" applyNumberFormat="0" applyProtection="0">
      <alignment horizontal="right" vertical="center"/>
    </xf>
    <xf numFmtId="4" fontId="4" fillId="35" borderId="12" applyNumberFormat="0" applyProtection="0">
      <alignment horizontal="right" vertical="center"/>
    </xf>
    <xf numFmtId="4" fontId="4" fillId="31" borderId="12" applyNumberFormat="0" applyProtection="0">
      <alignment horizontal="right" vertical="center"/>
    </xf>
    <xf numFmtId="4" fontId="4" fillId="47" borderId="12" applyNumberFormat="0" applyProtection="0">
      <alignment horizontal="right" vertical="center"/>
    </xf>
    <xf numFmtId="4" fontId="4" fillId="16" borderId="12" applyNumberFormat="0" applyProtection="0">
      <alignment horizontal="right" vertical="center"/>
    </xf>
    <xf numFmtId="4" fontId="40" fillId="0" borderId="0" applyNumberFormat="0" applyProtection="0">
      <alignment horizontal="left" vertical="center" indent="1"/>
    </xf>
    <xf numFmtId="4" fontId="4" fillId="48" borderId="0" applyNumberFormat="0" applyProtection="0">
      <alignment horizontal="left" vertical="center" indent="1"/>
    </xf>
    <xf numFmtId="4" fontId="76" fillId="49" borderId="0" applyNumberFormat="0" applyProtection="0">
      <alignment horizontal="left" vertical="center" indent="1"/>
    </xf>
    <xf numFmtId="4" fontId="4" fillId="50" borderId="12" applyNumberFormat="0" applyProtection="0">
      <alignment horizontal="right" vertical="center"/>
    </xf>
    <xf numFmtId="4" fontId="77" fillId="0" borderId="0" applyNumberFormat="0" applyProtection="0">
      <alignment horizontal="left" vertical="center" indent="1"/>
    </xf>
    <xf numFmtId="4" fontId="58" fillId="36" borderId="0" applyNumberFormat="0" applyProtection="0">
      <alignment horizontal="left" vertical="center" indent="1"/>
    </xf>
    <xf numFmtId="0" fontId="58" fillId="17" borderId="12" applyNumberFormat="0" applyProtection="0">
      <alignment horizontal="left" vertical="center" indent="1"/>
    </xf>
    <xf numFmtId="0" fontId="58" fillId="17" borderId="12" applyNumberFormat="0" applyProtection="0">
      <alignment horizontal="left" vertical="top" indent="1"/>
    </xf>
    <xf numFmtId="0" fontId="58" fillId="50" borderId="12" applyNumberFormat="0" applyProtection="0">
      <alignment horizontal="left" vertical="center" indent="1"/>
    </xf>
    <xf numFmtId="0" fontId="58" fillId="50" borderId="12" applyNumberFormat="0" applyProtection="0">
      <alignment horizontal="left" vertical="top" indent="1"/>
    </xf>
    <xf numFmtId="0" fontId="58" fillId="51" borderId="12" applyNumberFormat="0" applyProtection="0">
      <alignment horizontal="left" vertical="center" indent="1"/>
    </xf>
    <xf numFmtId="0" fontId="58" fillId="52" borderId="12" applyNumberFormat="0" applyProtection="0">
      <alignment horizontal="left" vertical="top" indent="1"/>
    </xf>
    <xf numFmtId="0" fontId="58" fillId="0" borderId="12" applyNumberFormat="0" applyProtection="0">
      <alignment horizontal="left" vertical="center" indent="1"/>
    </xf>
    <xf numFmtId="0" fontId="58" fillId="0" borderId="12" applyNumberFormat="0" applyProtection="0">
      <alignment horizontal="left" vertical="top" indent="1"/>
    </xf>
    <xf numFmtId="0" fontId="2" fillId="39" borderId="0"/>
    <xf numFmtId="4" fontId="4" fillId="3" borderId="12" applyNumberFormat="0" applyProtection="0">
      <alignment vertical="center"/>
    </xf>
    <xf numFmtId="4" fontId="78" fillId="3" borderId="12" applyNumberFormat="0" applyProtection="0">
      <alignment vertical="center"/>
    </xf>
    <xf numFmtId="4" fontId="4" fillId="3" borderId="12" applyNumberFormat="0" applyProtection="0">
      <alignment horizontal="left" vertical="center" indent="1"/>
    </xf>
    <xf numFmtId="0" fontId="4" fillId="3" borderId="12" applyNumberFormat="0" applyProtection="0">
      <alignment horizontal="left" vertical="top" indent="1"/>
    </xf>
    <xf numFmtId="4" fontId="77" fillId="0" borderId="12" applyNumberFormat="0" applyProtection="0">
      <alignment horizontal="right" vertical="center"/>
    </xf>
    <xf numFmtId="4" fontId="78" fillId="53" borderId="12" applyNumberFormat="0" applyProtection="0">
      <alignment horizontal="right" vertical="center"/>
    </xf>
    <xf numFmtId="4" fontId="77" fillId="48" borderId="12" applyNumberFormat="0" applyProtection="0">
      <alignment horizontal="left" vertical="center" indent="1"/>
    </xf>
    <xf numFmtId="0" fontId="77" fillId="50" borderId="12" applyNumberFormat="0" applyProtection="0">
      <alignment horizontal="left" vertical="top" indent="1"/>
    </xf>
    <xf numFmtId="4" fontId="79" fillId="0" borderId="0" applyNumberFormat="0" applyProtection="0">
      <alignment horizontal="left" vertical="center" indent="1"/>
    </xf>
    <xf numFmtId="4" fontId="39" fillId="53" borderId="12" applyNumberFormat="0" applyProtection="0">
      <alignment horizontal="right" vertical="center"/>
    </xf>
    <xf numFmtId="0" fontId="80" fillId="0" borderId="0" applyNumberFormat="0" applyFill="0" applyBorder="0" applyAlignment="0" applyProtection="0"/>
    <xf numFmtId="183" fontId="2" fillId="0" borderId="0" applyFont="0" applyFill="0" applyBorder="0" applyAlignment="0" applyProtection="0"/>
    <xf numFmtId="0" fontId="3" fillId="0" borderId="0"/>
    <xf numFmtId="0" fontId="3" fillId="0" borderId="0"/>
    <xf numFmtId="0" fontId="81" fillId="0" borderId="0"/>
    <xf numFmtId="0" fontId="2" fillId="0" borderId="0" applyNumberFormat="0" applyFont="0" applyFill="0" applyBorder="0" applyAlignment="0" applyProtection="0">
      <alignment horizontal="left" vertical="top" wrapText="1"/>
    </xf>
    <xf numFmtId="0" fontId="2" fillId="0" borderId="0" applyNumberFormat="0" applyFont="0" applyFill="0" applyBorder="0" applyAlignment="0" applyProtection="0">
      <alignment horizontal="left" vertical="top" wrapText="1"/>
      <protection locked="0"/>
    </xf>
    <xf numFmtId="0" fontId="2" fillId="0" borderId="0" applyNumberFormat="0" applyFont="0" applyFill="0" applyBorder="0" applyAlignment="0" applyProtection="0">
      <alignment horizontal="left" vertical="top" wrapText="1"/>
    </xf>
    <xf numFmtId="0" fontId="2" fillId="0" borderId="0" applyNumberFormat="0" applyFont="0" applyFill="0" applyBorder="0" applyAlignment="0" applyProtection="0">
      <alignment horizontal="left" vertical="top" wrapText="1"/>
      <protection locked="0"/>
    </xf>
    <xf numFmtId="0" fontId="3" fillId="0" borderId="0"/>
    <xf numFmtId="167" fontId="64" fillId="0" borderId="0" applyNumberFormat="0" applyFill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84" fontId="84" fillId="0" borderId="0" applyNumberFormat="0" applyFill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7" applyNumberFormat="0" applyFill="0" applyAlignment="0" applyProtection="0"/>
    <xf numFmtId="0" fontId="87" fillId="0" borderId="8" applyNumberFormat="0" applyFill="0" applyAlignment="0" applyProtection="0"/>
    <xf numFmtId="0" fontId="60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7" applyNumberFormat="0" applyFill="0" applyAlignment="0" applyProtection="0"/>
    <xf numFmtId="0" fontId="87" fillId="0" borderId="8" applyNumberFormat="0" applyFill="0" applyAlignment="0" applyProtection="0"/>
    <xf numFmtId="0" fontId="60" fillId="0" borderId="9" applyNumberFormat="0" applyFill="0" applyAlignment="0" applyProtection="0"/>
    <xf numFmtId="0" fontId="88" fillId="0" borderId="0" applyNumberFormat="0" applyFill="0" applyBorder="0" applyAlignment="0" applyProtection="0"/>
    <xf numFmtId="0" fontId="20" fillId="0" borderId="13" applyNumberFormat="0" applyFill="0" applyAlignment="0" applyProtection="0"/>
    <xf numFmtId="184" fontId="89" fillId="0" borderId="0" applyNumberFormat="0" applyFill="0" applyBorder="0" applyProtection="0"/>
    <xf numFmtId="0" fontId="59" fillId="0" borderId="13" applyNumberFormat="0" applyFill="0" applyAlignment="0" applyProtection="0"/>
    <xf numFmtId="0" fontId="69" fillId="5" borderId="0" applyNumberFormat="0" applyBorder="0" applyAlignment="0" applyProtection="0"/>
    <xf numFmtId="0" fontId="53" fillId="6" borderId="0" applyNumberFormat="0" applyBorder="0" applyAlignment="0" applyProtection="0"/>
    <xf numFmtId="18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" fillId="12" borderId="10" applyNumberFormat="0" applyFont="0" applyAlignment="0" applyProtection="0"/>
    <xf numFmtId="0" fontId="2" fillId="12" borderId="10" applyNumberFormat="0" applyFont="0" applyAlignment="0" applyProtection="0"/>
    <xf numFmtId="0" fontId="24" fillId="13" borderId="2" applyNumberFormat="0" applyAlignment="0" applyProtection="0"/>
    <xf numFmtId="0" fontId="24" fillId="13" borderId="2" applyNumberFormat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" fillId="0" borderId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13" borderId="11" applyNumberFormat="0" applyAlignment="0" applyProtection="0"/>
    <xf numFmtId="0" fontId="34" fillId="13" borderId="11" applyNumberFormat="0" applyAlignment="0" applyProtection="0"/>
    <xf numFmtId="0" fontId="35" fillId="9" borderId="2" applyNumberFormat="0" applyAlignment="0" applyProtection="0"/>
    <xf numFmtId="0" fontId="35" fillId="9" borderId="2" applyNumberFormat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7" fillId="38" borderId="3" applyNumberFormat="0" applyAlignment="0" applyProtection="0"/>
    <xf numFmtId="0" fontId="37" fillId="38" borderId="3" applyNumberFormat="0" applyAlignment="0" applyProtection="0"/>
    <xf numFmtId="0" fontId="38" fillId="0" borderId="4" applyNumberFormat="0" applyFill="0" applyAlignment="0" applyProtection="0"/>
    <xf numFmtId="0" fontId="38" fillId="0" borderId="4" applyNumberFormat="0" applyFill="0" applyAlignment="0" applyProtection="0"/>
    <xf numFmtId="0" fontId="2" fillId="0" borderId="0"/>
    <xf numFmtId="0" fontId="1" fillId="0" borderId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35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09">
    <cellStyle name="$" xfId="2" xr:uid="{00000000-0005-0000-0000-000000000000}"/>
    <cellStyle name="%" xfId="3" xr:uid="{00000000-0005-0000-0000-000001000000}"/>
    <cellStyle name="____Solvay - Combined Data" xfId="4" xr:uid="{00000000-0005-0000-0000-000002000000}"/>
    <cellStyle name="____Solvay - Combined Data_2009 JP1-D_TP_20091211" xfId="5" xr:uid="{00000000-0005-0000-0000-000003000000}"/>
    <cellStyle name="_2009 JP1-D_TP_20091211" xfId="6" xr:uid="{00000000-0005-0000-0000-000004000000}"/>
    <cellStyle name="_Column1" xfId="7" xr:uid="{00000000-0005-0000-0000-000005000000}"/>
    <cellStyle name="_Column1_RückLieferung_05 an DPDHL 02022010 Kontrolle 20100203 final" xfId="8" xr:uid="{00000000-0005-0000-0000-000006000000}"/>
    <cellStyle name="_Column2" xfId="9" xr:uid="{00000000-0005-0000-0000-000007000000}"/>
    <cellStyle name="_Column3" xfId="10" xr:uid="{00000000-0005-0000-0000-000008000000}"/>
    <cellStyle name="_Column4" xfId="11" xr:uid="{00000000-0005-0000-0000-000009000000}"/>
    <cellStyle name="_Column4_RückLieferung_05 an DPDHL 02022010 Kontrolle 20100203 final" xfId="12" xr:uid="{00000000-0005-0000-0000-00000A000000}"/>
    <cellStyle name="_Column5" xfId="13" xr:uid="{00000000-0005-0000-0000-00000B000000}"/>
    <cellStyle name="_Column6" xfId="14" xr:uid="{00000000-0005-0000-0000-00000C000000}"/>
    <cellStyle name="_Column7" xfId="15" xr:uid="{00000000-0005-0000-0000-00000D000000}"/>
    <cellStyle name="_Data" xfId="16" xr:uid="{00000000-0005-0000-0000-00000E000000}"/>
    <cellStyle name="_Data_RückLieferung_05 an DPDHL 02022010 Kontrolle 20100203 final" xfId="17" xr:uid="{00000000-0005-0000-0000-00000F000000}"/>
    <cellStyle name="_FAS_87  2008 EDS Italy Final - check_FB" xfId="18" xr:uid="{00000000-0005-0000-0000-000010000000}"/>
    <cellStyle name="_FAS_87  2008 EDS Italy Final - check_FB_2009 JP1-D_TP_20091211" xfId="19" xr:uid="{00000000-0005-0000-0000-000011000000}"/>
    <cellStyle name="_FAS87 anno 2007_903 - PLC (FRANS)" xfId="20" xr:uid="{00000000-0005-0000-0000-000012000000}"/>
    <cellStyle name="_FAS87 anno 2007_903 - PLC (FRANS)_2009 JP1-D_TP_20091211" xfId="21" xr:uid="{00000000-0005-0000-0000-000013000000}"/>
    <cellStyle name="_Header" xfId="22" xr:uid="{00000000-0005-0000-0000-000014000000}"/>
    <cellStyle name="_IAS19_ResultsFYE2008_FR101-104-106-111-113_RI plans" xfId="23" xr:uid="{00000000-0005-0000-0000-000015000000}"/>
    <cellStyle name="_IAS19_ResultsFYE2008_FR103-105-107-108_RI plans" xfId="24" xr:uid="{00000000-0005-0000-0000-000016000000}"/>
    <cellStyle name="_IAS19_ResultsFYE2008_FR109_RI plan" xfId="25" xr:uid="{00000000-0005-0000-0000-000017000000}"/>
    <cellStyle name="_IAS19_ResultsFYE2008_FR110-115_RI plans" xfId="26" xr:uid="{00000000-0005-0000-0000-000018000000}"/>
    <cellStyle name="_Row1" xfId="27" xr:uid="{00000000-0005-0000-0000-000019000000}"/>
    <cellStyle name="_Row1_RückLieferung_05 an DPDHL 02022010 Kontrolle 20100203 final" xfId="28" xr:uid="{00000000-0005-0000-0000-00001A000000}"/>
    <cellStyle name="_Row2" xfId="29" xr:uid="{00000000-0005-0000-0000-00001B000000}"/>
    <cellStyle name="_Row3" xfId="30" xr:uid="{00000000-0005-0000-0000-00001C000000}"/>
    <cellStyle name="_Row4" xfId="31" xr:uid="{00000000-0005-0000-0000-00001D000000}"/>
    <cellStyle name="_Row5" xfId="32" xr:uid="{00000000-0005-0000-0000-00001E000000}"/>
    <cellStyle name="_Row6" xfId="33" xr:uid="{00000000-0005-0000-0000-00001F000000}"/>
    <cellStyle name="_Row7" xfId="34" xr:uid="{00000000-0005-0000-0000-000020000000}"/>
    <cellStyle name="_SCA P. Italia - check_FB" xfId="35" xr:uid="{00000000-0005-0000-0000-000021000000}"/>
    <cellStyle name="_SCA P. Italia - check_FB_2009 JP1-D_TP_20091211" xfId="36" xr:uid="{00000000-0005-0000-0000-000022000000}"/>
    <cellStyle name="_Solvay - Combined Data - STILL TO BE DONE" xfId="37" xr:uid="{00000000-0005-0000-0000-000023000000}"/>
    <cellStyle name="_Solvay - Combined Data - STILL TO BE DONE_2009 JP1-D_TP_20091211" xfId="38" xr:uid="{00000000-0005-0000-0000-000024000000}"/>
    <cellStyle name="20% - Accent1 2" xfId="39" xr:uid="{00000000-0005-0000-0000-000025000000}"/>
    <cellStyle name="20% - Accent2 2" xfId="40" xr:uid="{00000000-0005-0000-0000-000026000000}"/>
    <cellStyle name="20% - Accent3 2" xfId="41" xr:uid="{00000000-0005-0000-0000-000027000000}"/>
    <cellStyle name="20% - Accent4 2" xfId="42" xr:uid="{00000000-0005-0000-0000-000028000000}"/>
    <cellStyle name="20% - Accent5 2" xfId="43" xr:uid="{00000000-0005-0000-0000-000029000000}"/>
    <cellStyle name="20% - Accent6 2" xfId="44" xr:uid="{00000000-0005-0000-0000-00002A000000}"/>
    <cellStyle name="20% - Colore 1" xfId="45" xr:uid="{00000000-0005-0000-0000-00002B000000}"/>
    <cellStyle name="20% - Colore 2" xfId="46" xr:uid="{00000000-0005-0000-0000-00002C000000}"/>
    <cellStyle name="20% - Colore 3" xfId="47" xr:uid="{00000000-0005-0000-0000-00002D000000}"/>
    <cellStyle name="20% - Colore 4" xfId="48" xr:uid="{00000000-0005-0000-0000-00002E000000}"/>
    <cellStyle name="20% - Colore 5" xfId="49" xr:uid="{00000000-0005-0000-0000-00002F000000}"/>
    <cellStyle name="20% - Colore 6" xfId="50" xr:uid="{00000000-0005-0000-0000-000030000000}"/>
    <cellStyle name="20% - Énfasis1" xfId="51" xr:uid="{00000000-0005-0000-0000-000031000000}"/>
    <cellStyle name="20% - Énfasis2" xfId="52" xr:uid="{00000000-0005-0000-0000-000032000000}"/>
    <cellStyle name="20% - Énfasis3" xfId="53" xr:uid="{00000000-0005-0000-0000-000033000000}"/>
    <cellStyle name="20% - Énfasis4" xfId="54" xr:uid="{00000000-0005-0000-0000-000034000000}"/>
    <cellStyle name="20% - Énfasis5" xfId="55" xr:uid="{00000000-0005-0000-0000-000035000000}"/>
    <cellStyle name="20% - Énfasis6" xfId="56" xr:uid="{00000000-0005-0000-0000-000036000000}"/>
    <cellStyle name="20% - הדגשה1" xfId="57" xr:uid="{00000000-0005-0000-0000-000037000000}"/>
    <cellStyle name="20% - הדגשה1 2" xfId="58" xr:uid="{00000000-0005-0000-0000-000038000000}"/>
    <cellStyle name="20% - הדגשה2" xfId="59" xr:uid="{00000000-0005-0000-0000-000039000000}"/>
    <cellStyle name="20% - הדגשה2 2" xfId="60" xr:uid="{00000000-0005-0000-0000-00003A000000}"/>
    <cellStyle name="20% - הדגשה3" xfId="61" xr:uid="{00000000-0005-0000-0000-00003B000000}"/>
    <cellStyle name="20% - הדגשה3 2" xfId="62" xr:uid="{00000000-0005-0000-0000-00003C000000}"/>
    <cellStyle name="20% - הדגשה4" xfId="63" xr:uid="{00000000-0005-0000-0000-00003D000000}"/>
    <cellStyle name="20% - הדגשה4 2" xfId="64" xr:uid="{00000000-0005-0000-0000-00003E000000}"/>
    <cellStyle name="20% - הדגשה5" xfId="65" xr:uid="{00000000-0005-0000-0000-00003F000000}"/>
    <cellStyle name="20% - הדגשה5 2" xfId="66" xr:uid="{00000000-0005-0000-0000-000040000000}"/>
    <cellStyle name="20% - הדגשה6" xfId="67" xr:uid="{00000000-0005-0000-0000-000041000000}"/>
    <cellStyle name="20% - הדגשה6 2" xfId="68" xr:uid="{00000000-0005-0000-0000-000042000000}"/>
    <cellStyle name="40% - Accent1 2" xfId="69" xr:uid="{00000000-0005-0000-0000-000043000000}"/>
    <cellStyle name="40% - Accent2 2" xfId="70" xr:uid="{00000000-0005-0000-0000-000044000000}"/>
    <cellStyle name="40% - Accent3 2" xfId="71" xr:uid="{00000000-0005-0000-0000-000045000000}"/>
    <cellStyle name="40% - Accent4 2" xfId="72" xr:uid="{00000000-0005-0000-0000-000046000000}"/>
    <cellStyle name="40% - Accent5 2" xfId="73" xr:uid="{00000000-0005-0000-0000-000047000000}"/>
    <cellStyle name="40% - Accent6 2" xfId="74" xr:uid="{00000000-0005-0000-0000-000048000000}"/>
    <cellStyle name="40% - Colore 1" xfId="75" xr:uid="{00000000-0005-0000-0000-000049000000}"/>
    <cellStyle name="40% - Colore 2" xfId="76" xr:uid="{00000000-0005-0000-0000-00004A000000}"/>
    <cellStyle name="40% - Colore 3" xfId="77" xr:uid="{00000000-0005-0000-0000-00004B000000}"/>
    <cellStyle name="40% - Colore 4" xfId="78" xr:uid="{00000000-0005-0000-0000-00004C000000}"/>
    <cellStyle name="40% - Colore 5" xfId="79" xr:uid="{00000000-0005-0000-0000-00004D000000}"/>
    <cellStyle name="40% - Colore 6" xfId="80" xr:uid="{00000000-0005-0000-0000-00004E000000}"/>
    <cellStyle name="40% - Énfasis1" xfId="81" xr:uid="{00000000-0005-0000-0000-00004F000000}"/>
    <cellStyle name="40% - Énfasis2" xfId="82" xr:uid="{00000000-0005-0000-0000-000050000000}"/>
    <cellStyle name="40% - Énfasis3" xfId="83" xr:uid="{00000000-0005-0000-0000-000051000000}"/>
    <cellStyle name="40% - Énfasis4" xfId="84" xr:uid="{00000000-0005-0000-0000-000052000000}"/>
    <cellStyle name="40% - Énfasis5" xfId="85" xr:uid="{00000000-0005-0000-0000-000053000000}"/>
    <cellStyle name="40% - Énfasis6" xfId="86" xr:uid="{00000000-0005-0000-0000-000054000000}"/>
    <cellStyle name="40% - הדגשה1" xfId="87" xr:uid="{00000000-0005-0000-0000-000055000000}"/>
    <cellStyle name="40% - הדגשה1 2" xfId="88" xr:uid="{00000000-0005-0000-0000-000056000000}"/>
    <cellStyle name="40% - הדגשה2" xfId="89" xr:uid="{00000000-0005-0000-0000-000057000000}"/>
    <cellStyle name="40% - הדגשה2 2" xfId="90" xr:uid="{00000000-0005-0000-0000-000058000000}"/>
    <cellStyle name="40% - הדגשה3" xfId="91" xr:uid="{00000000-0005-0000-0000-000059000000}"/>
    <cellStyle name="40% - הדגשה3 2" xfId="92" xr:uid="{00000000-0005-0000-0000-00005A000000}"/>
    <cellStyle name="40% - הדגשה4" xfId="93" xr:uid="{00000000-0005-0000-0000-00005B000000}"/>
    <cellStyle name="40% - הדגשה4 2" xfId="94" xr:uid="{00000000-0005-0000-0000-00005C000000}"/>
    <cellStyle name="40% - הדגשה5" xfId="95" xr:uid="{00000000-0005-0000-0000-00005D000000}"/>
    <cellStyle name="40% - הדגשה5 2" xfId="96" xr:uid="{00000000-0005-0000-0000-00005E000000}"/>
    <cellStyle name="40% - הדגשה6" xfId="97" xr:uid="{00000000-0005-0000-0000-00005F000000}"/>
    <cellStyle name="40% - הדגשה6 2" xfId="98" xr:uid="{00000000-0005-0000-0000-000060000000}"/>
    <cellStyle name="60% - Accent1 2" xfId="99" xr:uid="{00000000-0005-0000-0000-000061000000}"/>
    <cellStyle name="60% - Accent2 2" xfId="100" xr:uid="{00000000-0005-0000-0000-000062000000}"/>
    <cellStyle name="60% - Accent3 2" xfId="101" xr:uid="{00000000-0005-0000-0000-000063000000}"/>
    <cellStyle name="60% - Accent4 2" xfId="102" xr:uid="{00000000-0005-0000-0000-000064000000}"/>
    <cellStyle name="60% - Accent5 2" xfId="103" xr:uid="{00000000-0005-0000-0000-000065000000}"/>
    <cellStyle name="60% - Accent6 2" xfId="104" xr:uid="{00000000-0005-0000-0000-000066000000}"/>
    <cellStyle name="60% - Colore 1" xfId="105" xr:uid="{00000000-0005-0000-0000-000067000000}"/>
    <cellStyle name="60% - Colore 2" xfId="106" xr:uid="{00000000-0005-0000-0000-000068000000}"/>
    <cellStyle name="60% - Colore 3" xfId="107" xr:uid="{00000000-0005-0000-0000-000069000000}"/>
    <cellStyle name="60% - Colore 4" xfId="108" xr:uid="{00000000-0005-0000-0000-00006A000000}"/>
    <cellStyle name="60% - Colore 5" xfId="109" xr:uid="{00000000-0005-0000-0000-00006B000000}"/>
    <cellStyle name="60% - Colore 6" xfId="110" xr:uid="{00000000-0005-0000-0000-00006C000000}"/>
    <cellStyle name="60% - Énfasis1" xfId="111" xr:uid="{00000000-0005-0000-0000-00006D000000}"/>
    <cellStyle name="60% - Énfasis2" xfId="112" xr:uid="{00000000-0005-0000-0000-00006E000000}"/>
    <cellStyle name="60% - Énfasis3" xfId="113" xr:uid="{00000000-0005-0000-0000-00006F000000}"/>
    <cellStyle name="60% - Énfasis4" xfId="114" xr:uid="{00000000-0005-0000-0000-000070000000}"/>
    <cellStyle name="60% - Énfasis5" xfId="115" xr:uid="{00000000-0005-0000-0000-000071000000}"/>
    <cellStyle name="60% - Énfasis6" xfId="116" xr:uid="{00000000-0005-0000-0000-000072000000}"/>
    <cellStyle name="60% - הדגשה1" xfId="117" xr:uid="{00000000-0005-0000-0000-000073000000}"/>
    <cellStyle name="60% - הדגשה1 2" xfId="118" xr:uid="{00000000-0005-0000-0000-000074000000}"/>
    <cellStyle name="60% - הדגשה2" xfId="119" xr:uid="{00000000-0005-0000-0000-000075000000}"/>
    <cellStyle name="60% - הדגשה2 2" xfId="120" xr:uid="{00000000-0005-0000-0000-000076000000}"/>
    <cellStyle name="60% - הדגשה3" xfId="121" xr:uid="{00000000-0005-0000-0000-000077000000}"/>
    <cellStyle name="60% - הדגשה3 2" xfId="122" xr:uid="{00000000-0005-0000-0000-000078000000}"/>
    <cellStyle name="60% - הדגשה4" xfId="123" xr:uid="{00000000-0005-0000-0000-000079000000}"/>
    <cellStyle name="60% - הדגשה4 2" xfId="124" xr:uid="{00000000-0005-0000-0000-00007A000000}"/>
    <cellStyle name="60% - הדגשה5" xfId="125" xr:uid="{00000000-0005-0000-0000-00007B000000}"/>
    <cellStyle name="60% - הדגשה5 2" xfId="126" xr:uid="{00000000-0005-0000-0000-00007C000000}"/>
    <cellStyle name="60% - הדגשה6" xfId="127" xr:uid="{00000000-0005-0000-0000-00007D000000}"/>
    <cellStyle name="60% - הדגשה6 2" xfId="128" xr:uid="{00000000-0005-0000-0000-00007E000000}"/>
    <cellStyle name="Accent1 - 20%" xfId="130" xr:uid="{00000000-0005-0000-0000-00007F000000}"/>
    <cellStyle name="Accent1 - 40%" xfId="131" xr:uid="{00000000-0005-0000-0000-000080000000}"/>
    <cellStyle name="Accent1 - 60%" xfId="132" xr:uid="{00000000-0005-0000-0000-000081000000}"/>
    <cellStyle name="Accent1 2" xfId="129" xr:uid="{00000000-0005-0000-0000-000082000000}"/>
    <cellStyle name="Accent1 3" xfId="403" xr:uid="{00000000-0005-0000-0000-000083000000}"/>
    <cellStyle name="Accent2 - 20%" xfId="134" xr:uid="{00000000-0005-0000-0000-000084000000}"/>
    <cellStyle name="Accent2 - 40%" xfId="135" xr:uid="{00000000-0005-0000-0000-000085000000}"/>
    <cellStyle name="Accent2 - 60%" xfId="136" xr:uid="{00000000-0005-0000-0000-000086000000}"/>
    <cellStyle name="Accent2 2" xfId="133" xr:uid="{00000000-0005-0000-0000-000087000000}"/>
    <cellStyle name="Accent2 3" xfId="404" xr:uid="{00000000-0005-0000-0000-000088000000}"/>
    <cellStyle name="Accent3 - 20%" xfId="138" xr:uid="{00000000-0005-0000-0000-000089000000}"/>
    <cellStyle name="Accent3 - 40%" xfId="139" xr:uid="{00000000-0005-0000-0000-00008A000000}"/>
    <cellStyle name="Accent3 - 60%" xfId="140" xr:uid="{00000000-0005-0000-0000-00008B000000}"/>
    <cellStyle name="Accent3 2" xfId="137" xr:uid="{00000000-0005-0000-0000-00008C000000}"/>
    <cellStyle name="Accent3 3" xfId="405" xr:uid="{00000000-0005-0000-0000-00008D000000}"/>
    <cellStyle name="Accent4 - 20%" xfId="142" xr:uid="{00000000-0005-0000-0000-00008E000000}"/>
    <cellStyle name="Accent4 - 40%" xfId="143" xr:uid="{00000000-0005-0000-0000-00008F000000}"/>
    <cellStyle name="Accent4 - 60%" xfId="144" xr:uid="{00000000-0005-0000-0000-000090000000}"/>
    <cellStyle name="Accent4 2" xfId="141" xr:uid="{00000000-0005-0000-0000-000091000000}"/>
    <cellStyle name="Accent4 3" xfId="406" xr:uid="{00000000-0005-0000-0000-000092000000}"/>
    <cellStyle name="Accent5 - 20%" xfId="146" xr:uid="{00000000-0005-0000-0000-000093000000}"/>
    <cellStyle name="Accent5 - 40%" xfId="147" xr:uid="{00000000-0005-0000-0000-000094000000}"/>
    <cellStyle name="Accent5 - 60%" xfId="148" xr:uid="{00000000-0005-0000-0000-000095000000}"/>
    <cellStyle name="Accent5 2" xfId="145" xr:uid="{00000000-0005-0000-0000-000096000000}"/>
    <cellStyle name="Accent5 3" xfId="407" xr:uid="{00000000-0005-0000-0000-000097000000}"/>
    <cellStyle name="Accent6 - 20%" xfId="150" xr:uid="{00000000-0005-0000-0000-000098000000}"/>
    <cellStyle name="Accent6 - 40%" xfId="151" xr:uid="{00000000-0005-0000-0000-000099000000}"/>
    <cellStyle name="Accent6 - 60%" xfId="152" xr:uid="{00000000-0005-0000-0000-00009A000000}"/>
    <cellStyle name="Accent6 2" xfId="149" xr:uid="{00000000-0005-0000-0000-00009B000000}"/>
    <cellStyle name="Accent6 3" xfId="408" xr:uid="{00000000-0005-0000-0000-00009C000000}"/>
    <cellStyle name="assump" xfId="153" xr:uid="{00000000-0005-0000-0000-00009D000000}"/>
    <cellStyle name="Bad 2" xfId="154" xr:uid="{00000000-0005-0000-0000-00009E000000}"/>
    <cellStyle name="Base" xfId="155" xr:uid="{00000000-0005-0000-0000-00009F000000}"/>
    <cellStyle name="Buena" xfId="156" xr:uid="{00000000-0005-0000-0000-0000A0000000}"/>
    <cellStyle name="Calcolo" xfId="157" xr:uid="{00000000-0005-0000-0000-0000A1000000}"/>
    <cellStyle name="Calculation 2" xfId="158" xr:uid="{00000000-0005-0000-0000-0000A2000000}"/>
    <cellStyle name="Cálculo" xfId="159" xr:uid="{00000000-0005-0000-0000-0000A3000000}"/>
    <cellStyle name="Celda de comprobación" xfId="160" xr:uid="{00000000-0005-0000-0000-0000A4000000}"/>
    <cellStyle name="Celda vinculada" xfId="161" xr:uid="{00000000-0005-0000-0000-0000A5000000}"/>
    <cellStyle name="Cella collegata" xfId="162" xr:uid="{00000000-0005-0000-0000-0000A6000000}"/>
    <cellStyle name="Cella da controllare" xfId="163" xr:uid="{00000000-0005-0000-0000-0000A7000000}"/>
    <cellStyle name="Check Cell 2" xfId="164" xr:uid="{00000000-0005-0000-0000-0000A8000000}"/>
    <cellStyle name="Col_head" xfId="165" xr:uid="{00000000-0005-0000-0000-0000A9000000}"/>
    <cellStyle name="Colore 1" xfId="166" xr:uid="{00000000-0005-0000-0000-0000AA000000}"/>
    <cellStyle name="Colore 2" xfId="167" xr:uid="{00000000-0005-0000-0000-0000AB000000}"/>
    <cellStyle name="Colore 3" xfId="168" xr:uid="{00000000-0005-0000-0000-0000AC000000}"/>
    <cellStyle name="Colore 4" xfId="169" xr:uid="{00000000-0005-0000-0000-0000AD000000}"/>
    <cellStyle name="Colore 5" xfId="170" xr:uid="{00000000-0005-0000-0000-0000AE000000}"/>
    <cellStyle name="Colore 6" xfId="171" xr:uid="{00000000-0005-0000-0000-0000AF000000}"/>
    <cellStyle name="Comma 2" xfId="173" xr:uid="{00000000-0005-0000-0000-0000B0000000}"/>
    <cellStyle name="Comma 2 2" xfId="174" xr:uid="{00000000-0005-0000-0000-0000B1000000}"/>
    <cellStyle name="Comma 3" xfId="175" xr:uid="{00000000-0005-0000-0000-0000B2000000}"/>
    <cellStyle name="Comma 4" xfId="176" xr:uid="{00000000-0005-0000-0000-0000B3000000}"/>
    <cellStyle name="Comma 5" xfId="172" xr:uid="{00000000-0005-0000-0000-0000B4000000}"/>
    <cellStyle name="CustomBigInteger" xfId="177" xr:uid="{00000000-0005-0000-0000-0000B5000000}"/>
    <cellStyle name="CustomBigIntegerEditable" xfId="178" xr:uid="{00000000-0005-0000-0000-0000B6000000}"/>
    <cellStyle name="CustomDate" xfId="179" xr:uid="{00000000-0005-0000-0000-0000B7000000}"/>
    <cellStyle name="CustomDateEditable" xfId="180" xr:uid="{00000000-0005-0000-0000-0000B8000000}"/>
    <cellStyle name="CustomDecimal" xfId="181" xr:uid="{00000000-0005-0000-0000-0000B9000000}"/>
    <cellStyle name="CustomDecimalEditable" xfId="182" xr:uid="{00000000-0005-0000-0000-0000BA000000}"/>
    <cellStyle name="CustomPercentage" xfId="183" xr:uid="{00000000-0005-0000-0000-0000BB000000}"/>
    <cellStyle name="CustomPercentageEditable" xfId="184" xr:uid="{00000000-0005-0000-0000-0000BC000000}"/>
    <cellStyle name="Data Input" xfId="185" xr:uid="{00000000-0005-0000-0000-0000BD000000}"/>
    <cellStyle name="DATA_COMP" xfId="186" xr:uid="{00000000-0005-0000-0000-0000BE000000}"/>
    <cellStyle name="Date" xfId="187" xr:uid="{00000000-0005-0000-0000-0000BF000000}"/>
    <cellStyle name="Dezimal +" xfId="188" xr:uid="{00000000-0005-0000-0000-0000C0000000}"/>
    <cellStyle name="Dezimal + 0" xfId="189" xr:uid="{00000000-0005-0000-0000-0000C1000000}"/>
    <cellStyle name="Dezimal 0" xfId="190" xr:uid="{00000000-0005-0000-0000-0000C2000000}"/>
    <cellStyle name="DOWNFOOT" xfId="191" xr:uid="{00000000-0005-0000-0000-0000C3000000}"/>
    <cellStyle name="Emphasis 1" xfId="192" xr:uid="{00000000-0005-0000-0000-0000C4000000}"/>
    <cellStyle name="Emphasis 2" xfId="193" xr:uid="{00000000-0005-0000-0000-0000C5000000}"/>
    <cellStyle name="Emphasis 3" xfId="194" xr:uid="{00000000-0005-0000-0000-0000C6000000}"/>
    <cellStyle name="Encabezado 4" xfId="195" xr:uid="{00000000-0005-0000-0000-0000C7000000}"/>
    <cellStyle name="Énfasis1" xfId="196" xr:uid="{00000000-0005-0000-0000-0000C8000000}"/>
    <cellStyle name="Énfasis2" xfId="197" xr:uid="{00000000-0005-0000-0000-0000C9000000}"/>
    <cellStyle name="Énfasis3" xfId="198" xr:uid="{00000000-0005-0000-0000-0000CA000000}"/>
    <cellStyle name="Énfasis4" xfId="199" xr:uid="{00000000-0005-0000-0000-0000CB000000}"/>
    <cellStyle name="Énfasis5" xfId="200" xr:uid="{00000000-0005-0000-0000-0000CC000000}"/>
    <cellStyle name="Énfasis6" xfId="201" xr:uid="{00000000-0005-0000-0000-0000CD000000}"/>
    <cellStyle name="Entrada" xfId="202" xr:uid="{00000000-0005-0000-0000-0000CE000000}"/>
    <cellStyle name="Euro" xfId="203" xr:uid="{00000000-0005-0000-0000-0000CF000000}"/>
    <cellStyle name="Explanatory Text 2" xfId="204" xr:uid="{00000000-0005-0000-0000-0000D0000000}"/>
    <cellStyle name="Fixed" xfId="205" xr:uid="{00000000-0005-0000-0000-0000D1000000}"/>
    <cellStyle name="Fixed (0)" xfId="206" xr:uid="{00000000-0005-0000-0000-0000D2000000}"/>
    <cellStyle name="Foot" xfId="207" xr:uid="{00000000-0005-0000-0000-0000D3000000}"/>
    <cellStyle name="Format Datenfeld" xfId="208" xr:uid="{00000000-0005-0000-0000-0000D4000000}"/>
    <cellStyle name="Format Zeile/Spalte" xfId="209" xr:uid="{00000000-0005-0000-0000-0000D5000000}"/>
    <cellStyle name="Good 2" xfId="210" xr:uid="{00000000-0005-0000-0000-0000D6000000}"/>
    <cellStyle name="Head" xfId="211" xr:uid="{00000000-0005-0000-0000-0000D7000000}"/>
    <cellStyle name="Header1" xfId="212" xr:uid="{00000000-0005-0000-0000-0000D8000000}"/>
    <cellStyle name="Header2" xfId="213" xr:uid="{00000000-0005-0000-0000-0000D9000000}"/>
    <cellStyle name="Header3" xfId="214" xr:uid="{00000000-0005-0000-0000-0000DA000000}"/>
    <cellStyle name="Header4" xfId="215" xr:uid="{00000000-0005-0000-0000-0000DB000000}"/>
    <cellStyle name="Header5" xfId="216" xr:uid="{00000000-0005-0000-0000-0000DC000000}"/>
    <cellStyle name="Header6" xfId="217" xr:uid="{00000000-0005-0000-0000-0000DD000000}"/>
    <cellStyle name="Heading 1 2" xfId="218" xr:uid="{00000000-0005-0000-0000-0000DE000000}"/>
    <cellStyle name="Heading 2 2" xfId="219" xr:uid="{00000000-0005-0000-0000-0000DF000000}"/>
    <cellStyle name="Heading 3 2" xfId="220" xr:uid="{00000000-0005-0000-0000-0000E0000000}"/>
    <cellStyle name="Heading 4 2" xfId="221" xr:uid="{00000000-0005-0000-0000-0000E1000000}"/>
    <cellStyle name="Heading1" xfId="222" xr:uid="{00000000-0005-0000-0000-0000E2000000}"/>
    <cellStyle name="Heading2" xfId="223" xr:uid="{00000000-0005-0000-0000-0000E3000000}"/>
    <cellStyle name="HiddenLocked" xfId="224" xr:uid="{00000000-0005-0000-0000-0000E4000000}"/>
    <cellStyle name="Incorrecto" xfId="225" xr:uid="{00000000-0005-0000-0000-0000E5000000}"/>
    <cellStyle name="Input 2" xfId="226" xr:uid="{00000000-0005-0000-0000-0000E6000000}"/>
    <cellStyle name="Linked Cell 2" xfId="227" xr:uid="{00000000-0005-0000-0000-0000E7000000}"/>
    <cellStyle name="Long Date" xfId="228" xr:uid="{00000000-0005-0000-0000-0000E8000000}"/>
    <cellStyle name="Mida" xfId="229" xr:uid="{00000000-0005-0000-0000-0000E9000000}"/>
    <cellStyle name="Migliaia_TFR Solvay - Aggregate data - 1 Jan to 31 Dec 2007" xfId="230" xr:uid="{00000000-0005-0000-0000-0000EA000000}"/>
    <cellStyle name="Milliers_Synthèse IAS 19" xfId="231" xr:uid="{00000000-0005-0000-0000-0000EB000000}"/>
    <cellStyle name="Monétaire [0]_taxesschedule" xfId="232" xr:uid="{00000000-0005-0000-0000-0000EC000000}"/>
    <cellStyle name="Monétaire_taxesschedule" xfId="233" xr:uid="{00000000-0005-0000-0000-0000ED000000}"/>
    <cellStyle name="Name" xfId="234" xr:uid="{00000000-0005-0000-0000-0000EE000000}"/>
    <cellStyle name="Neutral 2" xfId="235" xr:uid="{00000000-0005-0000-0000-0000EF000000}"/>
    <cellStyle name="Neutrale" xfId="236" xr:uid="{00000000-0005-0000-0000-0000F0000000}"/>
    <cellStyle name="Normal" xfId="0" builtinId="0"/>
    <cellStyle name="Normal 10" xfId="237" xr:uid="{00000000-0005-0000-0000-0000F2000000}"/>
    <cellStyle name="Normal 11" xfId="238" xr:uid="{00000000-0005-0000-0000-0000F3000000}"/>
    <cellStyle name="Normal 12" xfId="239" xr:uid="{00000000-0005-0000-0000-0000F4000000}"/>
    <cellStyle name="Normal 14" xfId="240" xr:uid="{00000000-0005-0000-0000-0000F5000000}"/>
    <cellStyle name="Normal 16" xfId="241" xr:uid="{00000000-0005-0000-0000-0000F6000000}"/>
    <cellStyle name="Normal 17" xfId="242" xr:uid="{00000000-0005-0000-0000-0000F7000000}"/>
    <cellStyle name="Normal 18" xfId="243" xr:uid="{00000000-0005-0000-0000-0000F8000000}"/>
    <cellStyle name="Normal 19" xfId="244" xr:uid="{00000000-0005-0000-0000-0000F9000000}"/>
    <cellStyle name="Normal 2" xfId="245" xr:uid="{00000000-0005-0000-0000-0000FA000000}"/>
    <cellStyle name="Normal 2 2" xfId="246" xr:uid="{00000000-0005-0000-0000-0000FB000000}"/>
    <cellStyle name="Normal 2 3" xfId="247" xr:uid="{00000000-0005-0000-0000-0000FC000000}"/>
    <cellStyle name="Normal 2_נתונים כלליים" xfId="248" xr:uid="{00000000-0005-0000-0000-0000FD000000}"/>
    <cellStyle name="Normal 20" xfId="249" xr:uid="{00000000-0005-0000-0000-0000FE000000}"/>
    <cellStyle name="Normal 24" xfId="250" xr:uid="{00000000-0005-0000-0000-0000FF000000}"/>
    <cellStyle name="Normal 28" xfId="251" xr:uid="{00000000-0005-0000-0000-000000010000}"/>
    <cellStyle name="Normal 3" xfId="252" xr:uid="{00000000-0005-0000-0000-000001010000}"/>
    <cellStyle name="Normal 4" xfId="253" xr:uid="{00000000-0005-0000-0000-000002010000}"/>
    <cellStyle name="Normal 5" xfId="254" xr:uid="{00000000-0005-0000-0000-000003010000}"/>
    <cellStyle name="Normal 6" xfId="1" xr:uid="{00000000-0005-0000-0000-000004010000}"/>
    <cellStyle name="Normal 7" xfId="402" xr:uid="{00000000-0005-0000-0000-000005010000}"/>
    <cellStyle name="Normal 8" xfId="255" xr:uid="{00000000-0005-0000-0000-000006010000}"/>
    <cellStyle name="Normale_Foglio1" xfId="256" xr:uid="{00000000-0005-0000-0000-000007010000}"/>
    <cellStyle name="Nota" xfId="257" xr:uid="{00000000-0005-0000-0000-000008010000}"/>
    <cellStyle name="Notas" xfId="258" xr:uid="{00000000-0005-0000-0000-000009010000}"/>
    <cellStyle name="Note 2" xfId="260" xr:uid="{00000000-0005-0000-0000-00000A010000}"/>
    <cellStyle name="Note 3" xfId="259" xr:uid="{00000000-0005-0000-0000-00000B010000}"/>
    <cellStyle name="Number10" xfId="261" xr:uid="{00000000-0005-0000-0000-00000C010000}"/>
    <cellStyle name="Number10Editable" xfId="262" xr:uid="{00000000-0005-0000-0000-00000D010000}"/>
    <cellStyle name="Number3" xfId="263" xr:uid="{00000000-0005-0000-0000-00000E010000}"/>
    <cellStyle name="Number3Editable" xfId="264" xr:uid="{00000000-0005-0000-0000-00000F010000}"/>
    <cellStyle name="Number4" xfId="265" xr:uid="{00000000-0005-0000-0000-000010010000}"/>
    <cellStyle name="Number4Editable" xfId="266" xr:uid="{00000000-0005-0000-0000-000011010000}"/>
    <cellStyle name="Output 2" xfId="267" xr:uid="{00000000-0005-0000-0000-000012010000}"/>
    <cellStyle name="Percent 2" xfId="269" xr:uid="{00000000-0005-0000-0000-000013010000}"/>
    <cellStyle name="Percent 2 2" xfId="270" xr:uid="{00000000-0005-0000-0000-000014010000}"/>
    <cellStyle name="Percent 2 2 2" xfId="271" xr:uid="{00000000-0005-0000-0000-000015010000}"/>
    <cellStyle name="Percent 3" xfId="272" xr:uid="{00000000-0005-0000-0000-000016010000}"/>
    <cellStyle name="Percent 4" xfId="273" xr:uid="{00000000-0005-0000-0000-000017010000}"/>
    <cellStyle name="Percent 5" xfId="274" xr:uid="{00000000-0005-0000-0000-000018010000}"/>
    <cellStyle name="Percent 6" xfId="268" xr:uid="{00000000-0005-0000-0000-000019010000}"/>
    <cellStyle name="Prozent 2" xfId="275" xr:uid="{00000000-0005-0000-0000-00001A010000}"/>
    <cellStyle name="Salida" xfId="276" xr:uid="{00000000-0005-0000-0000-00001B010000}"/>
    <cellStyle name="SAPBEXaggData" xfId="277" xr:uid="{00000000-0005-0000-0000-00001C010000}"/>
    <cellStyle name="SAPBEXaggDataEmph" xfId="278" xr:uid="{00000000-0005-0000-0000-00001D010000}"/>
    <cellStyle name="SAPBEXaggItem" xfId="279" xr:uid="{00000000-0005-0000-0000-00001E010000}"/>
    <cellStyle name="SAPBEXaggItemX" xfId="280" xr:uid="{00000000-0005-0000-0000-00001F010000}"/>
    <cellStyle name="SAPBEXchaText" xfId="281" xr:uid="{00000000-0005-0000-0000-000020010000}"/>
    <cellStyle name="SAPBEXexcBad7" xfId="282" xr:uid="{00000000-0005-0000-0000-000021010000}"/>
    <cellStyle name="SAPBEXexcBad8" xfId="283" xr:uid="{00000000-0005-0000-0000-000022010000}"/>
    <cellStyle name="SAPBEXexcBad9" xfId="284" xr:uid="{00000000-0005-0000-0000-000023010000}"/>
    <cellStyle name="SAPBEXexcCritical4" xfId="285" xr:uid="{00000000-0005-0000-0000-000024010000}"/>
    <cellStyle name="SAPBEXexcCritical5" xfId="286" xr:uid="{00000000-0005-0000-0000-000025010000}"/>
    <cellStyle name="SAPBEXexcCritical6" xfId="287" xr:uid="{00000000-0005-0000-0000-000026010000}"/>
    <cellStyle name="SAPBEXexcGood1" xfId="288" xr:uid="{00000000-0005-0000-0000-000027010000}"/>
    <cellStyle name="SAPBEXexcGood2" xfId="289" xr:uid="{00000000-0005-0000-0000-000028010000}"/>
    <cellStyle name="SAPBEXexcGood3" xfId="290" xr:uid="{00000000-0005-0000-0000-000029010000}"/>
    <cellStyle name="SAPBEXfilterDrill" xfId="291" xr:uid="{00000000-0005-0000-0000-00002A010000}"/>
    <cellStyle name="SAPBEXfilterItem" xfId="292" xr:uid="{00000000-0005-0000-0000-00002B010000}"/>
    <cellStyle name="SAPBEXfilterText" xfId="293" xr:uid="{00000000-0005-0000-0000-00002C010000}"/>
    <cellStyle name="SAPBEXformats" xfId="294" xr:uid="{00000000-0005-0000-0000-00002D010000}"/>
    <cellStyle name="SAPBEXheaderItem" xfId="295" xr:uid="{00000000-0005-0000-0000-00002E010000}"/>
    <cellStyle name="SAPBEXheaderText" xfId="296" xr:uid="{00000000-0005-0000-0000-00002F010000}"/>
    <cellStyle name="SAPBEXHLevel0" xfId="297" xr:uid="{00000000-0005-0000-0000-000030010000}"/>
    <cellStyle name="SAPBEXHLevel0X" xfId="298" xr:uid="{00000000-0005-0000-0000-000031010000}"/>
    <cellStyle name="SAPBEXHLevel1" xfId="299" xr:uid="{00000000-0005-0000-0000-000032010000}"/>
    <cellStyle name="SAPBEXHLevel1X" xfId="300" xr:uid="{00000000-0005-0000-0000-000033010000}"/>
    <cellStyle name="SAPBEXHLevel2" xfId="301" xr:uid="{00000000-0005-0000-0000-000034010000}"/>
    <cellStyle name="SAPBEXHLevel2X" xfId="302" xr:uid="{00000000-0005-0000-0000-000035010000}"/>
    <cellStyle name="SAPBEXHLevel3" xfId="303" xr:uid="{00000000-0005-0000-0000-000036010000}"/>
    <cellStyle name="SAPBEXHLevel3X" xfId="304" xr:uid="{00000000-0005-0000-0000-000037010000}"/>
    <cellStyle name="SAPBEXinputData" xfId="305" xr:uid="{00000000-0005-0000-0000-000038010000}"/>
    <cellStyle name="SAPBEXresData" xfId="306" xr:uid="{00000000-0005-0000-0000-000039010000}"/>
    <cellStyle name="SAPBEXresDataEmph" xfId="307" xr:uid="{00000000-0005-0000-0000-00003A010000}"/>
    <cellStyle name="SAPBEXresItem" xfId="308" xr:uid="{00000000-0005-0000-0000-00003B010000}"/>
    <cellStyle name="SAPBEXresItemX" xfId="309" xr:uid="{00000000-0005-0000-0000-00003C010000}"/>
    <cellStyle name="SAPBEXstdData" xfId="310" xr:uid="{00000000-0005-0000-0000-00003D010000}"/>
    <cellStyle name="SAPBEXstdDataEmph" xfId="311" xr:uid="{00000000-0005-0000-0000-00003E010000}"/>
    <cellStyle name="SAPBEXstdItem" xfId="312" xr:uid="{00000000-0005-0000-0000-00003F010000}"/>
    <cellStyle name="SAPBEXstdItemX" xfId="313" xr:uid="{00000000-0005-0000-0000-000040010000}"/>
    <cellStyle name="SAPBEXtitle" xfId="314" xr:uid="{00000000-0005-0000-0000-000041010000}"/>
    <cellStyle name="SAPBEXundefined" xfId="315" xr:uid="{00000000-0005-0000-0000-000042010000}"/>
    <cellStyle name="Sheet Title" xfId="316" xr:uid="{00000000-0005-0000-0000-000043010000}"/>
    <cellStyle name="Short Date" xfId="317" xr:uid="{00000000-0005-0000-0000-000044010000}"/>
    <cellStyle name="Standard 2" xfId="318" xr:uid="{00000000-0005-0000-0000-000045010000}"/>
    <cellStyle name="Standard_ALLE" xfId="319" xr:uid="{00000000-0005-0000-0000-000046010000}"/>
    <cellStyle name="Stil 1" xfId="320" xr:uid="{00000000-0005-0000-0000-000047010000}"/>
    <cellStyle name="StringWrapLeft" xfId="321" xr:uid="{00000000-0005-0000-0000-000048010000}"/>
    <cellStyle name="StringWrapLeftEditable" xfId="322" xr:uid="{00000000-0005-0000-0000-000049010000}"/>
    <cellStyle name="StringWrapRight" xfId="323" xr:uid="{00000000-0005-0000-0000-00004A010000}"/>
    <cellStyle name="StringWrapRightEditable" xfId="324" xr:uid="{00000000-0005-0000-0000-00004B010000}"/>
    <cellStyle name="Style 1" xfId="325" xr:uid="{00000000-0005-0000-0000-00004C010000}"/>
    <cellStyle name="Sub_head" xfId="326" xr:uid="{00000000-0005-0000-0000-00004D010000}"/>
    <cellStyle name="Testo avviso" xfId="327" xr:uid="{00000000-0005-0000-0000-00004E010000}"/>
    <cellStyle name="Testo descrittivo" xfId="328" xr:uid="{00000000-0005-0000-0000-00004F010000}"/>
    <cellStyle name="Text" xfId="329" xr:uid="{00000000-0005-0000-0000-000050010000}"/>
    <cellStyle name="Texto de advertencia" xfId="330" xr:uid="{00000000-0005-0000-0000-000051010000}"/>
    <cellStyle name="Texto explicativo" xfId="331" xr:uid="{00000000-0005-0000-0000-000052010000}"/>
    <cellStyle name="Title 2" xfId="332" xr:uid="{00000000-0005-0000-0000-000053010000}"/>
    <cellStyle name="Titolo" xfId="333" xr:uid="{00000000-0005-0000-0000-000054010000}"/>
    <cellStyle name="Titolo 1" xfId="334" xr:uid="{00000000-0005-0000-0000-000055010000}"/>
    <cellStyle name="Titolo 2" xfId="335" xr:uid="{00000000-0005-0000-0000-000056010000}"/>
    <cellStyle name="Titolo 3" xfId="336" xr:uid="{00000000-0005-0000-0000-000057010000}"/>
    <cellStyle name="Titolo 4" xfId="337" xr:uid="{00000000-0005-0000-0000-000058010000}"/>
    <cellStyle name="Titolo_2009 JP1-D_TP_20091211" xfId="338" xr:uid="{00000000-0005-0000-0000-000059010000}"/>
    <cellStyle name="Título" xfId="339" xr:uid="{00000000-0005-0000-0000-00005A010000}"/>
    <cellStyle name="Título 1" xfId="340" xr:uid="{00000000-0005-0000-0000-00005B010000}"/>
    <cellStyle name="Título 2" xfId="341" xr:uid="{00000000-0005-0000-0000-00005C010000}"/>
    <cellStyle name="Título 3" xfId="342" xr:uid="{00000000-0005-0000-0000-00005D010000}"/>
    <cellStyle name="Título_2009 JP1-D_TP_20091211" xfId="343" xr:uid="{00000000-0005-0000-0000-00005E010000}"/>
    <cellStyle name="Total 2" xfId="345" xr:uid="{00000000-0005-0000-0000-00005F010000}"/>
    <cellStyle name="Total 3" xfId="344" xr:uid="{00000000-0005-0000-0000-000060010000}"/>
    <cellStyle name="Totale" xfId="346" xr:uid="{00000000-0005-0000-0000-000061010000}"/>
    <cellStyle name="Valore non valido" xfId="347" xr:uid="{00000000-0005-0000-0000-000062010000}"/>
    <cellStyle name="Valore valido" xfId="348" xr:uid="{00000000-0005-0000-0000-000063010000}"/>
    <cellStyle name="Valuta (0)_MIP2002PlasticBeverage_fm_ZATTI" xfId="349" xr:uid="{00000000-0005-0000-0000-000064010000}"/>
    <cellStyle name="Währung +" xfId="350" xr:uid="{00000000-0005-0000-0000-000065010000}"/>
    <cellStyle name="Währung + 0" xfId="351" xr:uid="{00000000-0005-0000-0000-000066010000}"/>
    <cellStyle name="Währung 0" xfId="352" xr:uid="{00000000-0005-0000-0000-000067010000}"/>
    <cellStyle name="Warning Text 2" xfId="353" xr:uid="{00000000-0005-0000-0000-000068010000}"/>
    <cellStyle name="הדגשה1" xfId="354" xr:uid="{00000000-0005-0000-0000-000069010000}"/>
    <cellStyle name="הדגשה1 2" xfId="355" xr:uid="{00000000-0005-0000-0000-00006A010000}"/>
    <cellStyle name="הדגשה2" xfId="356" xr:uid="{00000000-0005-0000-0000-00006B010000}"/>
    <cellStyle name="הדגשה2 2" xfId="357" xr:uid="{00000000-0005-0000-0000-00006C010000}"/>
    <cellStyle name="הדגשה3" xfId="358" xr:uid="{00000000-0005-0000-0000-00006D010000}"/>
    <cellStyle name="הדגשה3 2" xfId="359" xr:uid="{00000000-0005-0000-0000-00006E010000}"/>
    <cellStyle name="הדגשה4" xfId="360" xr:uid="{00000000-0005-0000-0000-00006F010000}"/>
    <cellStyle name="הדגשה4 2" xfId="361" xr:uid="{00000000-0005-0000-0000-000070010000}"/>
    <cellStyle name="הדגשה5" xfId="362" xr:uid="{00000000-0005-0000-0000-000071010000}"/>
    <cellStyle name="הדגשה5 2" xfId="363" xr:uid="{00000000-0005-0000-0000-000072010000}"/>
    <cellStyle name="הדגשה6" xfId="364" xr:uid="{00000000-0005-0000-0000-000073010000}"/>
    <cellStyle name="הדגשה6 2" xfId="365" xr:uid="{00000000-0005-0000-0000-000074010000}"/>
    <cellStyle name="הערה" xfId="366" xr:uid="{00000000-0005-0000-0000-000075010000}"/>
    <cellStyle name="הערה 2" xfId="367" xr:uid="{00000000-0005-0000-0000-000076010000}"/>
    <cellStyle name="חישוב" xfId="368" xr:uid="{00000000-0005-0000-0000-000077010000}"/>
    <cellStyle name="חישוב 2" xfId="369" xr:uid="{00000000-0005-0000-0000-000078010000}"/>
    <cellStyle name="טוב" xfId="370" xr:uid="{00000000-0005-0000-0000-000079010000}"/>
    <cellStyle name="טוב 2" xfId="371" xr:uid="{00000000-0005-0000-0000-00007A010000}"/>
    <cellStyle name="טקסט אזהרה" xfId="372" xr:uid="{00000000-0005-0000-0000-00007B010000}"/>
    <cellStyle name="טקסט אזהרה 2" xfId="373" xr:uid="{00000000-0005-0000-0000-00007C010000}"/>
    <cellStyle name="טקסט הסברי" xfId="374" xr:uid="{00000000-0005-0000-0000-00007D010000}"/>
    <cellStyle name="טקסט הסברי 2" xfId="375" xr:uid="{00000000-0005-0000-0000-00007E010000}"/>
    <cellStyle name="כותרת" xfId="376" xr:uid="{00000000-0005-0000-0000-00007F010000}"/>
    <cellStyle name="כותרת 1" xfId="377" xr:uid="{00000000-0005-0000-0000-000080010000}"/>
    <cellStyle name="כותרת 1 2" xfId="378" xr:uid="{00000000-0005-0000-0000-000081010000}"/>
    <cellStyle name="כותרת 2" xfId="379" xr:uid="{00000000-0005-0000-0000-000082010000}"/>
    <cellStyle name="כותרת 2 2" xfId="380" xr:uid="{00000000-0005-0000-0000-000083010000}"/>
    <cellStyle name="כותרת 3" xfId="381" xr:uid="{00000000-0005-0000-0000-000084010000}"/>
    <cellStyle name="כותרת 3 2" xfId="382" xr:uid="{00000000-0005-0000-0000-000085010000}"/>
    <cellStyle name="כותרת 4" xfId="383" xr:uid="{00000000-0005-0000-0000-000086010000}"/>
    <cellStyle name="כותרת 4 2" xfId="384" xr:uid="{00000000-0005-0000-0000-000087010000}"/>
    <cellStyle name="כותרת 5" xfId="385" xr:uid="{00000000-0005-0000-0000-000088010000}"/>
    <cellStyle name="ניטראלי" xfId="386" xr:uid="{00000000-0005-0000-0000-000089010000}"/>
    <cellStyle name="ניטראלי 2" xfId="387" xr:uid="{00000000-0005-0000-0000-00008A010000}"/>
    <cellStyle name="סגנון 1" xfId="388" xr:uid="{00000000-0005-0000-0000-00008B010000}"/>
    <cellStyle name="סה&quot;כ" xfId="389" xr:uid="{00000000-0005-0000-0000-00008C010000}"/>
    <cellStyle name="סה&quot;כ 2" xfId="390" xr:uid="{00000000-0005-0000-0000-00008D010000}"/>
    <cellStyle name="פלט" xfId="391" xr:uid="{00000000-0005-0000-0000-00008E010000}"/>
    <cellStyle name="פלט 2" xfId="392" xr:uid="{00000000-0005-0000-0000-00008F010000}"/>
    <cellStyle name="קלט" xfId="393" xr:uid="{00000000-0005-0000-0000-000090010000}"/>
    <cellStyle name="קלט 2" xfId="394" xr:uid="{00000000-0005-0000-0000-000091010000}"/>
    <cellStyle name="רע" xfId="395" xr:uid="{00000000-0005-0000-0000-000092010000}"/>
    <cellStyle name="רע 2" xfId="396" xr:uid="{00000000-0005-0000-0000-000093010000}"/>
    <cellStyle name="תא מסומן" xfId="397" xr:uid="{00000000-0005-0000-0000-000094010000}"/>
    <cellStyle name="תא מסומן 2" xfId="398" xr:uid="{00000000-0005-0000-0000-000095010000}"/>
    <cellStyle name="תא מקושר" xfId="399" xr:uid="{00000000-0005-0000-0000-000096010000}"/>
    <cellStyle name="תא מקושר 2" xfId="400" xr:uid="{00000000-0005-0000-0000-000097010000}"/>
    <cellStyle name="一般_Request for Asset and Cash Flows-CTC-2008" xfId="401" xr:uid="{00000000-0005-0000-0000-000098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/2024/data1_IAS19_310122023.xls" TargetMode="External"/><Relationship Id="rId2" Type="http://schemas.openxmlformats.org/officeDocument/2006/relationships/externalLinkPath" Target="file:///C:\Users\mlmir\Desktop\economic%20aplications\1\2024\data1_IAS19_310122023.xls" TargetMode="External"/><Relationship Id="rId1" Type="http://schemas.openxmlformats.org/officeDocument/2006/relationships/externalLinkPath" Target="/Users/mlmir/Desktop/economic%20aplications/1/2024/data1_IAS19_310122023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/2024/data2_IAS19_310122024.xls" TargetMode="External"/><Relationship Id="rId2" Type="http://schemas.openxmlformats.org/officeDocument/2006/relationships/externalLinkPath" Target="file:///C:\Users\mlmir\Desktop\economic%20aplications\2\2024\data2_IAS19_310122024.xls" TargetMode="External"/><Relationship Id="rId1" Type="http://schemas.openxmlformats.org/officeDocument/2006/relationships/externalLinkPath" Target="/Users/mlmir/Desktop/economic%20aplications/2/2024/data2_IAS19_310122024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3/2024/data3_IAS19_310122024.xls" TargetMode="External"/><Relationship Id="rId2" Type="http://schemas.openxmlformats.org/officeDocument/2006/relationships/externalLinkPath" Target="file:///C:\Users\mlmir\Desktop\economic%20aplications\3\2024\data3_IAS19_310122024.xls" TargetMode="External"/><Relationship Id="rId1" Type="http://schemas.openxmlformats.org/officeDocument/2006/relationships/externalLinkPath" Target="/Users/mlmir/Desktop/economic%20aplications/3/2024/data3_IAS19_310122024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4/2024/data4_IAS19_31122024.xls" TargetMode="External"/><Relationship Id="rId2" Type="http://schemas.openxmlformats.org/officeDocument/2006/relationships/externalLinkPath" Target="file:///C:\Users\mlmir\Desktop\economic%20aplications\4\2024\data4_IAS19_31122024.xls" TargetMode="External"/><Relationship Id="rId1" Type="http://schemas.openxmlformats.org/officeDocument/2006/relationships/externalLinkPath" Target="/Users/mlmir/Desktop/economic%20aplications/4/2024/data4_IAS19_31122024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5/2024/data5_IAS19_310122024.xls" TargetMode="External"/><Relationship Id="rId2" Type="http://schemas.openxmlformats.org/officeDocument/2006/relationships/externalLinkPath" Target="file:///C:\Users\mlmir\Desktop\economic%20aplications\5\2024\data5_IAS19_310122024.xls" TargetMode="External"/><Relationship Id="rId1" Type="http://schemas.openxmlformats.org/officeDocument/2006/relationships/externalLinkPath" Target="/Users/mlmir/Desktop/economic%20aplications/5/2024/data5_IAS19_310122024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6/2024/data6_IAS19_31012204.xls" TargetMode="External"/><Relationship Id="rId2" Type="http://schemas.openxmlformats.org/officeDocument/2006/relationships/externalLinkPath" Target="file:///C:\Users\mlmir\Desktop\economic%20aplications\6\2024\data6_IAS19_31012204.xls" TargetMode="External"/><Relationship Id="rId1" Type="http://schemas.openxmlformats.org/officeDocument/2006/relationships/externalLinkPath" Target="/Users/mlmir/Desktop/economic%20aplications/6/2024/data6_IAS19_31012204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7/2024/data7_IAS19_3112204.xls" TargetMode="External"/><Relationship Id="rId2" Type="http://schemas.openxmlformats.org/officeDocument/2006/relationships/externalLinkPath" Target="file:///C:\Users\mlmir\Desktop\economic%20aplications\7\2024\data7_IAS19_3112204.xls" TargetMode="External"/><Relationship Id="rId1" Type="http://schemas.openxmlformats.org/officeDocument/2006/relationships/externalLinkPath" Target="/Users/mlmir/Desktop/economic%20aplications/7/2024/data7_IAS19_3112204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8/2024/data8_IAS19_310122024.xls" TargetMode="External"/><Relationship Id="rId2" Type="http://schemas.openxmlformats.org/officeDocument/2006/relationships/externalLinkPath" Target="file:///C:\Users\mlmir\Desktop\economic%20aplications\8\2024\data8_IAS19_310122024.xls" TargetMode="External"/><Relationship Id="rId1" Type="http://schemas.openxmlformats.org/officeDocument/2006/relationships/externalLinkPath" Target="/Users/mlmir/Desktop/economic%20aplications/8/2024/data8_IAS19_310122024.xls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9/2024/data9_IAS19_310122024.xls" TargetMode="External"/><Relationship Id="rId2" Type="http://schemas.openxmlformats.org/officeDocument/2006/relationships/externalLinkPath" Target="file:///C:\Users\mlmir\Desktop\economic%20aplications\9\2024\data9_IAS19_310122024.xls" TargetMode="External"/><Relationship Id="rId1" Type="http://schemas.openxmlformats.org/officeDocument/2006/relationships/externalLinkPath" Target="/Users/mlmir/Desktop/economic%20aplications/9/2024/data9_IAS19_310122024.xls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10/2024/data10_IAS19_31122024.xls" TargetMode="External"/><Relationship Id="rId2" Type="http://schemas.openxmlformats.org/officeDocument/2006/relationships/externalLinkPath" Target="file:///C:\Users\mlmir\Desktop\economic%20aplications\10\2024\data10_IAS19_31122024.xls" TargetMode="External"/><Relationship Id="rId1" Type="http://schemas.openxmlformats.org/officeDocument/2006/relationships/externalLinkPath" Target="/Users/mlmir/Desktop/economic%20aplications/10/2024/data10_IAS19_31122024.xls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/2024/data11_IAS19_310122024.xls" TargetMode="External"/><Relationship Id="rId2" Type="http://schemas.openxmlformats.org/officeDocument/2006/relationships/externalLinkPath" Target="file:///C:\Users\mlmir\Desktop\economic%20aplications\11\2024\data11_IAS19_310122024.xls" TargetMode="External"/><Relationship Id="rId1" Type="http://schemas.openxmlformats.org/officeDocument/2006/relationships/externalLinkPath" Target="/Users/mlmir/Desktop/economic%20aplications/11/2024/data11_IAS19_31012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0">
          <cell r="C20" t="str">
            <v>Unique Identity Number</v>
          </cell>
          <cell r="D20" t="str">
            <v>Gender</v>
          </cell>
          <cell r="E20" t="str">
            <v>Age</v>
          </cell>
          <cell r="F20" t="str">
            <v>Seniority in Yrs</v>
          </cell>
          <cell r="G20">
            <v>8250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C21">
            <v>1</v>
          </cell>
          <cell r="D21" t="str">
            <v>M</v>
          </cell>
          <cell r="E21">
            <v>37</v>
          </cell>
          <cell r="F21">
            <v>9.5630000000000006</v>
          </cell>
        </row>
        <row r="22">
          <cell r="C22">
            <v>7</v>
          </cell>
          <cell r="D22" t="str">
            <v>F</v>
          </cell>
          <cell r="E22">
            <v>54</v>
          </cell>
          <cell r="F22">
            <v>5.5</v>
          </cell>
          <cell r="G22">
            <v>29084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>
            <v>9</v>
          </cell>
          <cell r="D23" t="str">
            <v>F</v>
          </cell>
          <cell r="E23">
            <v>49</v>
          </cell>
          <cell r="F23">
            <v>6.59</v>
          </cell>
          <cell r="G23">
            <v>12875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11</v>
          </cell>
          <cell r="D24" t="str">
            <v>M</v>
          </cell>
          <cell r="E24">
            <v>49</v>
          </cell>
          <cell r="F24">
            <v>20.837</v>
          </cell>
          <cell r="G24">
            <v>28250</v>
          </cell>
          <cell r="H24">
            <v>588667</v>
          </cell>
          <cell r="I24">
            <v>432253</v>
          </cell>
          <cell r="J24">
            <v>432253</v>
          </cell>
          <cell r="K24">
            <v>380000</v>
          </cell>
          <cell r="L24">
            <v>380000</v>
          </cell>
          <cell r="M24">
            <v>0</v>
          </cell>
          <cell r="N24">
            <v>380000</v>
          </cell>
          <cell r="O24">
            <v>380000</v>
          </cell>
          <cell r="P24">
            <v>380000</v>
          </cell>
          <cell r="Q24">
            <v>20486</v>
          </cell>
        </row>
        <row r="25">
          <cell r="C25">
            <v>13</v>
          </cell>
          <cell r="D25" t="str">
            <v>M</v>
          </cell>
          <cell r="E25">
            <v>48</v>
          </cell>
          <cell r="F25">
            <v>22.972999999999999</v>
          </cell>
          <cell r="G25">
            <v>30125</v>
          </cell>
          <cell r="H25">
            <v>501547</v>
          </cell>
          <cell r="I25">
            <v>353105</v>
          </cell>
          <cell r="J25">
            <v>353105</v>
          </cell>
          <cell r="K25">
            <v>250000</v>
          </cell>
          <cell r="L25">
            <v>250000</v>
          </cell>
          <cell r="M25">
            <v>0</v>
          </cell>
          <cell r="N25">
            <v>250000</v>
          </cell>
          <cell r="O25">
            <v>250000</v>
          </cell>
          <cell r="P25">
            <v>250000</v>
          </cell>
          <cell r="Q25">
            <v>0</v>
          </cell>
        </row>
        <row r="26">
          <cell r="C26">
            <v>15</v>
          </cell>
          <cell r="D26" t="str">
            <v>M</v>
          </cell>
          <cell r="E26">
            <v>52</v>
          </cell>
          <cell r="F26">
            <v>11.887</v>
          </cell>
          <cell r="G26">
            <v>40000</v>
          </cell>
          <cell r="H26">
            <v>133143</v>
          </cell>
          <cell r="I26">
            <v>77033</v>
          </cell>
          <cell r="J26">
            <v>77033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6399</v>
          </cell>
        </row>
        <row r="27">
          <cell r="C27">
            <v>17</v>
          </cell>
          <cell r="D27" t="str">
            <v>F</v>
          </cell>
          <cell r="E27">
            <v>51</v>
          </cell>
          <cell r="F27">
            <v>16.954999999999998</v>
          </cell>
          <cell r="G27">
            <v>21375</v>
          </cell>
          <cell r="H27">
            <v>282872</v>
          </cell>
          <cell r="I27">
            <v>168656</v>
          </cell>
          <cell r="J27">
            <v>168656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3525</v>
          </cell>
        </row>
        <row r="28">
          <cell r="C28">
            <v>19</v>
          </cell>
          <cell r="D28" t="str">
            <v>M</v>
          </cell>
          <cell r="E28">
            <v>50</v>
          </cell>
          <cell r="F28">
            <v>6.173</v>
          </cell>
          <cell r="G28">
            <v>26375</v>
          </cell>
          <cell r="H28">
            <v>11048</v>
          </cell>
          <cell r="I28">
            <v>25499</v>
          </cell>
          <cell r="J28">
            <v>50000</v>
          </cell>
          <cell r="K28">
            <v>50000</v>
          </cell>
          <cell r="L28">
            <v>50000</v>
          </cell>
          <cell r="M28">
            <v>0</v>
          </cell>
          <cell r="N28">
            <v>50000</v>
          </cell>
          <cell r="O28">
            <v>50000</v>
          </cell>
          <cell r="P28">
            <v>50000</v>
          </cell>
          <cell r="Q28">
            <v>0</v>
          </cell>
        </row>
        <row r="29">
          <cell r="C29">
            <v>21</v>
          </cell>
          <cell r="D29" t="str">
            <v>M</v>
          </cell>
          <cell r="E29">
            <v>50</v>
          </cell>
          <cell r="F29">
            <v>22.006</v>
          </cell>
          <cell r="G29">
            <v>24500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25</v>
          </cell>
          <cell r="D30" t="str">
            <v>M</v>
          </cell>
          <cell r="E30">
            <v>47</v>
          </cell>
          <cell r="F30">
            <v>12.175000000000001</v>
          </cell>
          <cell r="G30">
            <v>10125</v>
          </cell>
          <cell r="H30">
            <v>69274</v>
          </cell>
          <cell r="I30">
            <v>28465</v>
          </cell>
          <cell r="J30">
            <v>28465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27</v>
          </cell>
          <cell r="D31" t="str">
            <v>M</v>
          </cell>
          <cell r="E31">
            <v>45</v>
          </cell>
          <cell r="F31">
            <v>16.954999999999998</v>
          </cell>
          <cell r="G31">
            <v>13250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31</v>
          </cell>
          <cell r="D32" t="str">
            <v>F</v>
          </cell>
          <cell r="E32">
            <v>37</v>
          </cell>
          <cell r="F32">
            <v>6.8470000000000004</v>
          </cell>
          <cell r="G32">
            <v>8516</v>
          </cell>
          <cell r="H32">
            <v>4290</v>
          </cell>
          <cell r="I32">
            <v>1488</v>
          </cell>
          <cell r="J32">
            <v>1488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33</v>
          </cell>
          <cell r="D33" t="str">
            <v>F</v>
          </cell>
          <cell r="E33">
            <v>36</v>
          </cell>
          <cell r="F33">
            <v>15.917</v>
          </cell>
          <cell r="G33">
            <v>7844</v>
          </cell>
          <cell r="H33">
            <v>124856</v>
          </cell>
          <cell r="I33">
            <v>91135</v>
          </cell>
          <cell r="J33">
            <v>91135</v>
          </cell>
          <cell r="K33">
            <v>80000</v>
          </cell>
          <cell r="L33">
            <v>80000</v>
          </cell>
          <cell r="M33">
            <v>0</v>
          </cell>
          <cell r="N33">
            <v>80000</v>
          </cell>
          <cell r="O33">
            <v>80000</v>
          </cell>
          <cell r="P33">
            <v>80000</v>
          </cell>
          <cell r="Q33">
            <v>5656</v>
          </cell>
        </row>
        <row r="34">
          <cell r="C34">
            <v>37</v>
          </cell>
          <cell r="D34" t="str">
            <v>M</v>
          </cell>
          <cell r="E34">
            <v>46</v>
          </cell>
          <cell r="F34">
            <v>16.670000000000002</v>
          </cell>
          <cell r="G34">
            <v>20125</v>
          </cell>
          <cell r="H34">
            <v>184472</v>
          </cell>
          <cell r="I34">
            <v>154925</v>
          </cell>
          <cell r="J34">
            <v>154925</v>
          </cell>
          <cell r="K34">
            <v>150000</v>
          </cell>
          <cell r="L34">
            <v>150000</v>
          </cell>
          <cell r="M34">
            <v>0</v>
          </cell>
          <cell r="N34">
            <v>150000</v>
          </cell>
          <cell r="O34">
            <v>150000</v>
          </cell>
          <cell r="P34">
            <v>150000</v>
          </cell>
          <cell r="Q34">
            <v>0</v>
          </cell>
        </row>
        <row r="35">
          <cell r="C35">
            <v>39</v>
          </cell>
          <cell r="D35" t="str">
            <v>M</v>
          </cell>
          <cell r="E35">
            <v>37</v>
          </cell>
          <cell r="F35">
            <v>10.433</v>
          </cell>
          <cell r="G35">
            <v>11375</v>
          </cell>
          <cell r="H35">
            <v>31</v>
          </cell>
          <cell r="I35">
            <v>10</v>
          </cell>
          <cell r="J35">
            <v>10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41</v>
          </cell>
          <cell r="D36" t="str">
            <v>F</v>
          </cell>
          <cell r="E36">
            <v>63</v>
          </cell>
          <cell r="F36">
            <v>21.754000000000001</v>
          </cell>
          <cell r="G36">
            <v>14250</v>
          </cell>
          <cell r="H36">
            <v>125860</v>
          </cell>
          <cell r="I36">
            <v>124620</v>
          </cell>
          <cell r="J36">
            <v>124620</v>
          </cell>
          <cell r="K36">
            <v>80000</v>
          </cell>
          <cell r="L36">
            <v>80000</v>
          </cell>
          <cell r="M36">
            <v>0</v>
          </cell>
          <cell r="N36">
            <v>80000</v>
          </cell>
          <cell r="O36">
            <v>80000</v>
          </cell>
          <cell r="P36">
            <v>80000</v>
          </cell>
          <cell r="Q36">
            <v>0</v>
          </cell>
        </row>
        <row r="37">
          <cell r="C37">
            <v>43</v>
          </cell>
          <cell r="D37" t="str">
            <v>F</v>
          </cell>
          <cell r="E37">
            <v>40</v>
          </cell>
          <cell r="F37">
            <v>5.407</v>
          </cell>
          <cell r="G37">
            <v>14500</v>
          </cell>
          <cell r="H37">
            <v>40</v>
          </cell>
          <cell r="I37">
            <v>13</v>
          </cell>
          <cell r="J37">
            <v>13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45</v>
          </cell>
          <cell r="D38" t="str">
            <v>F</v>
          </cell>
          <cell r="E38">
            <v>26</v>
          </cell>
          <cell r="F38">
            <v>6.3239999999999998</v>
          </cell>
          <cell r="G38">
            <v>7938</v>
          </cell>
          <cell r="H38">
            <v>14056</v>
          </cell>
          <cell r="I38">
            <v>5257</v>
          </cell>
          <cell r="J38">
            <v>5257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822</v>
          </cell>
        </row>
        <row r="39">
          <cell r="C39">
            <v>47</v>
          </cell>
          <cell r="D39" t="str">
            <v>F</v>
          </cell>
          <cell r="E39">
            <v>63</v>
          </cell>
          <cell r="F39">
            <v>9.36</v>
          </cell>
          <cell r="G39">
            <v>10750</v>
          </cell>
          <cell r="H39">
            <v>28197</v>
          </cell>
          <cell r="I39">
            <v>27359</v>
          </cell>
          <cell r="J39">
            <v>27359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2894</v>
          </cell>
        </row>
        <row r="40">
          <cell r="C40">
            <v>71</v>
          </cell>
          <cell r="D40" t="str">
            <v>M</v>
          </cell>
          <cell r="E40">
            <v>52</v>
          </cell>
          <cell r="F40">
            <v>5.7539999999999996</v>
          </cell>
          <cell r="G40">
            <v>28250</v>
          </cell>
          <cell r="H40">
            <v>45522</v>
          </cell>
          <cell r="I40">
            <v>26362</v>
          </cell>
          <cell r="J40">
            <v>26362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4524</v>
          </cell>
        </row>
        <row r="41">
          <cell r="C41">
            <v>73</v>
          </cell>
          <cell r="D41" t="str">
            <v>F</v>
          </cell>
          <cell r="E41">
            <v>49</v>
          </cell>
          <cell r="F41">
            <v>22.042000000000002</v>
          </cell>
          <cell r="G41">
            <v>16000</v>
          </cell>
          <cell r="H41">
            <v>144559</v>
          </cell>
          <cell r="I41">
            <v>126455</v>
          </cell>
          <cell r="J41">
            <v>126455</v>
          </cell>
          <cell r="K41">
            <v>120000</v>
          </cell>
          <cell r="L41">
            <v>120000</v>
          </cell>
          <cell r="M41">
            <v>0</v>
          </cell>
          <cell r="N41">
            <v>120000</v>
          </cell>
          <cell r="O41">
            <v>120000</v>
          </cell>
          <cell r="P41">
            <v>120000</v>
          </cell>
          <cell r="Q41">
            <v>0</v>
          </cell>
        </row>
        <row r="42">
          <cell r="C42">
            <v>75</v>
          </cell>
          <cell r="D42" t="str">
            <v>F</v>
          </cell>
          <cell r="E42">
            <v>48</v>
          </cell>
          <cell r="F42">
            <v>16.713999999999999</v>
          </cell>
          <cell r="G42">
            <v>17775</v>
          </cell>
          <cell r="H42">
            <v>297102</v>
          </cell>
          <cell r="I42">
            <v>223026</v>
          </cell>
          <cell r="J42">
            <v>223026</v>
          </cell>
          <cell r="K42">
            <v>200000</v>
          </cell>
          <cell r="L42">
            <v>200000</v>
          </cell>
          <cell r="M42">
            <v>0</v>
          </cell>
          <cell r="N42">
            <v>200000</v>
          </cell>
          <cell r="O42">
            <v>200000</v>
          </cell>
          <cell r="P42">
            <v>200000</v>
          </cell>
          <cell r="Q42">
            <v>13177</v>
          </cell>
        </row>
        <row r="43">
          <cell r="C43">
            <v>77</v>
          </cell>
          <cell r="D43" t="str">
            <v>F</v>
          </cell>
          <cell r="E43">
            <v>48</v>
          </cell>
          <cell r="F43">
            <v>5.0890000000000004</v>
          </cell>
          <cell r="G43">
            <v>17100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79</v>
          </cell>
          <cell r="D44" t="str">
            <v>F</v>
          </cell>
          <cell r="E44">
            <v>51</v>
          </cell>
          <cell r="F44">
            <v>5.7160000000000002</v>
          </cell>
          <cell r="G44">
            <v>13500</v>
          </cell>
          <cell r="H44">
            <v>21609</v>
          </cell>
          <cell r="I44">
            <v>12872</v>
          </cell>
          <cell r="J44">
            <v>12872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2224</v>
          </cell>
        </row>
        <row r="45">
          <cell r="C45">
            <v>81</v>
          </cell>
          <cell r="D45" t="str">
            <v>F</v>
          </cell>
          <cell r="E45">
            <v>47</v>
          </cell>
          <cell r="F45">
            <v>18.454999999999998</v>
          </cell>
          <cell r="G45">
            <v>16636</v>
          </cell>
          <cell r="H45">
            <v>223181</v>
          </cell>
          <cell r="I45">
            <v>271026</v>
          </cell>
          <cell r="J45">
            <v>350000</v>
          </cell>
          <cell r="K45">
            <v>350000</v>
          </cell>
          <cell r="L45">
            <v>350000</v>
          </cell>
          <cell r="M45">
            <v>0</v>
          </cell>
          <cell r="N45">
            <v>350000</v>
          </cell>
          <cell r="O45">
            <v>350000</v>
          </cell>
          <cell r="P45">
            <v>350000</v>
          </cell>
          <cell r="Q45">
            <v>7214</v>
          </cell>
        </row>
        <row r="46">
          <cell r="C46">
            <v>85</v>
          </cell>
          <cell r="D46" t="str">
            <v>F</v>
          </cell>
          <cell r="E46">
            <v>44</v>
          </cell>
          <cell r="F46">
            <v>14.8</v>
          </cell>
          <cell r="G46">
            <v>9500</v>
          </cell>
          <cell r="H46">
            <v>40831</v>
          </cell>
          <cell r="I46">
            <v>16165</v>
          </cell>
          <cell r="J46">
            <v>16165</v>
          </cell>
          <cell r="K46">
            <v>2000</v>
          </cell>
          <cell r="L46">
            <v>2000</v>
          </cell>
          <cell r="M46">
            <v>0</v>
          </cell>
          <cell r="N46">
            <v>2000</v>
          </cell>
          <cell r="O46">
            <v>2000</v>
          </cell>
          <cell r="P46">
            <v>2000</v>
          </cell>
          <cell r="Q46">
            <v>1040</v>
          </cell>
        </row>
        <row r="47">
          <cell r="C47">
            <v>87</v>
          </cell>
          <cell r="D47" t="str">
            <v>M</v>
          </cell>
          <cell r="E47">
            <v>44</v>
          </cell>
          <cell r="F47">
            <v>12.06</v>
          </cell>
          <cell r="G47">
            <v>77250</v>
          </cell>
          <cell r="H47">
            <v>188937</v>
          </cell>
          <cell r="I47">
            <v>72712</v>
          </cell>
          <cell r="J47">
            <v>72712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91</v>
          </cell>
          <cell r="D48" t="str">
            <v>F</v>
          </cell>
          <cell r="E48">
            <v>37</v>
          </cell>
          <cell r="F48">
            <v>12.377000000000001</v>
          </cell>
          <cell r="G48">
            <v>10900</v>
          </cell>
          <cell r="H48">
            <v>134918</v>
          </cell>
          <cell r="I48">
            <v>89458</v>
          </cell>
          <cell r="J48">
            <v>89458</v>
          </cell>
          <cell r="K48">
            <v>70000</v>
          </cell>
          <cell r="L48">
            <v>70000</v>
          </cell>
          <cell r="M48">
            <v>0</v>
          </cell>
          <cell r="N48">
            <v>70000</v>
          </cell>
          <cell r="O48">
            <v>70000</v>
          </cell>
          <cell r="P48">
            <v>70000</v>
          </cell>
          <cell r="Q48">
            <v>7140</v>
          </cell>
        </row>
        <row r="49">
          <cell r="C49">
            <v>93</v>
          </cell>
          <cell r="D49" t="str">
            <v>F</v>
          </cell>
          <cell r="E49">
            <v>46</v>
          </cell>
          <cell r="F49">
            <v>6.9210000000000003</v>
          </cell>
          <cell r="G49">
            <v>8655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95</v>
          </cell>
          <cell r="D50" t="str">
            <v>F</v>
          </cell>
          <cell r="E50">
            <v>38</v>
          </cell>
          <cell r="F50">
            <v>5.1660000000000004</v>
          </cell>
          <cell r="G50">
            <v>14000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97</v>
          </cell>
          <cell r="D51" t="str">
            <v>M</v>
          </cell>
          <cell r="E51">
            <v>38</v>
          </cell>
          <cell r="F51">
            <v>6.4470000000000001</v>
          </cell>
          <cell r="G51">
            <v>14800</v>
          </cell>
          <cell r="H51">
            <v>47733</v>
          </cell>
          <cell r="I51">
            <v>16242</v>
          </cell>
          <cell r="J51">
            <v>16242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2488</v>
          </cell>
        </row>
        <row r="52">
          <cell r="C52">
            <v>99</v>
          </cell>
          <cell r="D52" t="str">
            <v>F</v>
          </cell>
          <cell r="E52">
            <v>58</v>
          </cell>
          <cell r="F52">
            <v>17.295000000000002</v>
          </cell>
          <cell r="G52">
            <v>24575</v>
          </cell>
          <cell r="H52">
            <v>425025</v>
          </cell>
          <cell r="I52">
            <v>370782</v>
          </cell>
          <cell r="J52">
            <v>370782</v>
          </cell>
          <cell r="K52">
            <v>300000</v>
          </cell>
          <cell r="L52">
            <v>300000</v>
          </cell>
          <cell r="M52">
            <v>0</v>
          </cell>
          <cell r="N52">
            <v>300000</v>
          </cell>
          <cell r="O52">
            <v>300000</v>
          </cell>
          <cell r="P52">
            <v>300000</v>
          </cell>
          <cell r="Q52">
            <v>21206</v>
          </cell>
        </row>
        <row r="53">
          <cell r="C53">
            <v>101</v>
          </cell>
          <cell r="D53" t="str">
            <v>F</v>
          </cell>
          <cell r="E53">
            <v>39</v>
          </cell>
          <cell r="F53">
            <v>15.737</v>
          </cell>
          <cell r="G53">
            <v>27625</v>
          </cell>
          <cell r="H53">
            <v>84633</v>
          </cell>
          <cell r="I53">
            <v>59562</v>
          </cell>
          <cell r="J53">
            <v>59562</v>
          </cell>
          <cell r="K53">
            <v>50000</v>
          </cell>
          <cell r="L53">
            <v>50000</v>
          </cell>
          <cell r="M53">
            <v>0</v>
          </cell>
          <cell r="N53">
            <v>50000</v>
          </cell>
          <cell r="O53">
            <v>50000</v>
          </cell>
          <cell r="P53">
            <v>50000</v>
          </cell>
          <cell r="Q53">
            <v>0</v>
          </cell>
        </row>
        <row r="54">
          <cell r="C54">
            <v>103</v>
          </cell>
          <cell r="D54" t="str">
            <v>M</v>
          </cell>
          <cell r="E54">
            <v>33</v>
          </cell>
          <cell r="F54">
            <v>5.7960000000000003</v>
          </cell>
          <cell r="G54">
            <v>23688</v>
          </cell>
          <cell r="H54">
            <v>68679</v>
          </cell>
          <cell r="I54">
            <v>23496</v>
          </cell>
          <cell r="J54">
            <v>23496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4003</v>
          </cell>
        </row>
        <row r="55">
          <cell r="C55">
            <v>105</v>
          </cell>
          <cell r="D55" t="str">
            <v>M</v>
          </cell>
          <cell r="E55">
            <v>33</v>
          </cell>
          <cell r="F55">
            <v>6.2389999999999999</v>
          </cell>
          <cell r="G55">
            <v>13844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C56">
            <v>107</v>
          </cell>
          <cell r="D56" t="str">
            <v>M</v>
          </cell>
          <cell r="E56">
            <v>30</v>
          </cell>
          <cell r="F56">
            <v>6.4660000000000002</v>
          </cell>
          <cell r="G56">
            <v>22000</v>
          </cell>
          <cell r="H56">
            <v>71165</v>
          </cell>
          <cell r="I56">
            <v>24736</v>
          </cell>
          <cell r="J56">
            <v>24736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3779</v>
          </cell>
        </row>
        <row r="57">
          <cell r="C57">
            <v>109</v>
          </cell>
          <cell r="D57" t="str">
            <v>M</v>
          </cell>
          <cell r="E57">
            <v>44</v>
          </cell>
          <cell r="F57">
            <v>5.7759999999999998</v>
          </cell>
          <cell r="G57">
            <v>21813</v>
          </cell>
          <cell r="H57">
            <v>63034</v>
          </cell>
          <cell r="I57">
            <v>24282</v>
          </cell>
          <cell r="J57">
            <v>24282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4149</v>
          </cell>
        </row>
        <row r="58">
          <cell r="C58">
            <v>111</v>
          </cell>
          <cell r="D58" t="str">
            <v>F</v>
          </cell>
          <cell r="E58">
            <v>57</v>
          </cell>
          <cell r="F58">
            <v>19.504000000000001</v>
          </cell>
          <cell r="G58">
            <v>25000</v>
          </cell>
          <cell r="H58">
            <v>487611</v>
          </cell>
          <cell r="I58">
            <v>458062</v>
          </cell>
          <cell r="J58">
            <v>458062</v>
          </cell>
          <cell r="K58">
            <v>400000</v>
          </cell>
          <cell r="L58">
            <v>400000</v>
          </cell>
          <cell r="M58">
            <v>0</v>
          </cell>
          <cell r="N58">
            <v>400000</v>
          </cell>
          <cell r="O58">
            <v>400000</v>
          </cell>
          <cell r="P58">
            <v>400000</v>
          </cell>
          <cell r="Q58">
            <v>23219</v>
          </cell>
        </row>
        <row r="59">
          <cell r="C59">
            <v>113</v>
          </cell>
          <cell r="D59" t="str">
            <v>M</v>
          </cell>
          <cell r="E59">
            <v>33</v>
          </cell>
          <cell r="F59">
            <v>6.3019999999999996</v>
          </cell>
          <cell r="G59">
            <v>21500</v>
          </cell>
          <cell r="H59">
            <v>67752</v>
          </cell>
          <cell r="I59">
            <v>23171</v>
          </cell>
          <cell r="J59">
            <v>23171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3632</v>
          </cell>
        </row>
        <row r="60">
          <cell r="C60">
            <v>115</v>
          </cell>
          <cell r="D60" t="str">
            <v>F</v>
          </cell>
          <cell r="E60">
            <v>60</v>
          </cell>
          <cell r="F60">
            <v>18.972999999999999</v>
          </cell>
          <cell r="G60">
            <v>15125</v>
          </cell>
          <cell r="H60">
            <v>286971</v>
          </cell>
          <cell r="I60">
            <v>255497</v>
          </cell>
          <cell r="J60">
            <v>255497</v>
          </cell>
          <cell r="K60">
            <v>130000</v>
          </cell>
          <cell r="L60">
            <v>130000</v>
          </cell>
          <cell r="M60">
            <v>0</v>
          </cell>
          <cell r="N60">
            <v>130000</v>
          </cell>
          <cell r="O60">
            <v>130000</v>
          </cell>
          <cell r="P60">
            <v>130000</v>
          </cell>
          <cell r="Q60">
            <v>13326</v>
          </cell>
        </row>
        <row r="61">
          <cell r="C61">
            <v>117</v>
          </cell>
          <cell r="D61" t="str">
            <v>F</v>
          </cell>
          <cell r="E61">
            <v>57</v>
          </cell>
          <cell r="F61">
            <v>18.239000000000001</v>
          </cell>
          <cell r="G61">
            <v>21125</v>
          </cell>
          <cell r="H61">
            <v>385311</v>
          </cell>
          <cell r="I61">
            <v>330541</v>
          </cell>
          <cell r="J61">
            <v>330541</v>
          </cell>
          <cell r="K61">
            <v>165406</v>
          </cell>
          <cell r="L61">
            <v>165406</v>
          </cell>
          <cell r="M61">
            <v>0</v>
          </cell>
          <cell r="N61">
            <v>165406</v>
          </cell>
          <cell r="O61">
            <v>165406</v>
          </cell>
          <cell r="P61">
            <v>165406</v>
          </cell>
          <cell r="Q61">
            <v>17917</v>
          </cell>
        </row>
        <row r="62">
          <cell r="C62">
            <v>119</v>
          </cell>
          <cell r="D62" t="str">
            <v>M</v>
          </cell>
          <cell r="E62">
            <v>59</v>
          </cell>
          <cell r="F62">
            <v>17.39</v>
          </cell>
          <cell r="G62">
            <v>18875</v>
          </cell>
          <cell r="H62">
            <v>328252</v>
          </cell>
          <cell r="I62">
            <v>238318</v>
          </cell>
          <cell r="J62">
            <v>238318</v>
          </cell>
          <cell r="K62">
            <v>55589</v>
          </cell>
          <cell r="L62">
            <v>55589</v>
          </cell>
          <cell r="M62">
            <v>0</v>
          </cell>
          <cell r="N62">
            <v>55589</v>
          </cell>
          <cell r="O62">
            <v>55589</v>
          </cell>
          <cell r="P62">
            <v>55589</v>
          </cell>
          <cell r="Q62">
            <v>13543</v>
          </cell>
        </row>
        <row r="63">
          <cell r="C63">
            <v>121</v>
          </cell>
          <cell r="D63" t="str">
            <v>M</v>
          </cell>
          <cell r="E63">
            <v>62</v>
          </cell>
          <cell r="F63">
            <v>5.3440000000000003</v>
          </cell>
          <cell r="G63">
            <v>25750</v>
          </cell>
          <cell r="H63">
            <v>68808</v>
          </cell>
          <cell r="I63">
            <v>59226</v>
          </cell>
          <cell r="J63">
            <v>59226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10962</v>
          </cell>
        </row>
        <row r="64">
          <cell r="C64">
            <v>123</v>
          </cell>
          <cell r="D64" t="str">
            <v>M</v>
          </cell>
          <cell r="E64">
            <v>31</v>
          </cell>
          <cell r="F64">
            <v>5.415</v>
          </cell>
          <cell r="G64">
            <v>7500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C65">
            <v>125</v>
          </cell>
          <cell r="D65" t="str">
            <v>F</v>
          </cell>
          <cell r="E65">
            <v>42</v>
          </cell>
          <cell r="F65">
            <v>9.6720000000000006</v>
          </cell>
          <cell r="G65">
            <v>5000</v>
          </cell>
          <cell r="H65">
            <v>14</v>
          </cell>
          <cell r="I65">
            <v>5</v>
          </cell>
          <cell r="J65">
            <v>5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C66">
            <v>129</v>
          </cell>
          <cell r="D66" t="str">
            <v>M</v>
          </cell>
          <cell r="E66">
            <v>56</v>
          </cell>
          <cell r="F66">
            <v>8.2870000000000008</v>
          </cell>
          <cell r="G66">
            <v>7000</v>
          </cell>
          <cell r="H66">
            <v>58012</v>
          </cell>
          <cell r="I66">
            <v>44530</v>
          </cell>
          <cell r="J66">
            <v>44530</v>
          </cell>
          <cell r="K66">
            <v>19465</v>
          </cell>
          <cell r="L66">
            <v>19465</v>
          </cell>
          <cell r="M66">
            <v>0</v>
          </cell>
          <cell r="N66">
            <v>19465</v>
          </cell>
          <cell r="O66">
            <v>19465</v>
          </cell>
          <cell r="P66">
            <v>19465</v>
          </cell>
          <cell r="Q66">
            <v>5308</v>
          </cell>
        </row>
        <row r="67">
          <cell r="C67">
            <v>131</v>
          </cell>
          <cell r="D67" t="str">
            <v>F</v>
          </cell>
          <cell r="E67">
            <v>41</v>
          </cell>
          <cell r="F67">
            <v>8.67</v>
          </cell>
          <cell r="G67">
            <v>15750</v>
          </cell>
          <cell r="H67">
            <v>68282</v>
          </cell>
          <cell r="I67">
            <v>24264</v>
          </cell>
          <cell r="J67">
            <v>24264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2764</v>
          </cell>
        </row>
        <row r="68">
          <cell r="C68">
            <v>133</v>
          </cell>
          <cell r="D68" t="str">
            <v>M</v>
          </cell>
          <cell r="E68">
            <v>48</v>
          </cell>
          <cell r="F68">
            <v>8.1880000000000006</v>
          </cell>
          <cell r="G68">
            <v>17000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C69">
            <v>135</v>
          </cell>
          <cell r="D69" t="str">
            <v>F</v>
          </cell>
          <cell r="E69">
            <v>32</v>
          </cell>
          <cell r="F69">
            <v>8.67</v>
          </cell>
          <cell r="G69">
            <v>12000</v>
          </cell>
          <cell r="H69">
            <v>104049</v>
          </cell>
          <cell r="I69">
            <v>58027</v>
          </cell>
          <cell r="J69">
            <v>58027</v>
          </cell>
          <cell r="K69">
            <v>36034</v>
          </cell>
          <cell r="L69">
            <v>36034</v>
          </cell>
          <cell r="M69">
            <v>0</v>
          </cell>
          <cell r="N69">
            <v>36034</v>
          </cell>
          <cell r="O69">
            <v>36034</v>
          </cell>
          <cell r="P69">
            <v>36034</v>
          </cell>
          <cell r="Q69">
            <v>6611</v>
          </cell>
        </row>
        <row r="70">
          <cell r="C70">
            <v>137</v>
          </cell>
          <cell r="D70" t="str">
            <v>M</v>
          </cell>
          <cell r="E70">
            <v>55</v>
          </cell>
          <cell r="F70">
            <v>8.67</v>
          </cell>
          <cell r="G70">
            <v>11344</v>
          </cell>
          <cell r="H70">
            <v>98359</v>
          </cell>
          <cell r="I70">
            <v>71282</v>
          </cell>
          <cell r="J70">
            <v>71282</v>
          </cell>
          <cell r="K70">
            <v>48289</v>
          </cell>
          <cell r="L70">
            <v>48289</v>
          </cell>
          <cell r="M70">
            <v>0</v>
          </cell>
          <cell r="N70">
            <v>48289</v>
          </cell>
          <cell r="O70">
            <v>48289</v>
          </cell>
          <cell r="P70">
            <v>48289</v>
          </cell>
          <cell r="Q70">
            <v>8122</v>
          </cell>
        </row>
        <row r="71">
          <cell r="C71">
            <v>139</v>
          </cell>
          <cell r="D71" t="str">
            <v>M</v>
          </cell>
          <cell r="E71">
            <v>45</v>
          </cell>
          <cell r="F71">
            <v>8.67</v>
          </cell>
          <cell r="G71">
            <v>12000</v>
          </cell>
          <cell r="H71">
            <v>52025</v>
          </cell>
          <cell r="I71">
            <v>19439</v>
          </cell>
          <cell r="J71">
            <v>19439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2214</v>
          </cell>
        </row>
        <row r="72">
          <cell r="C72">
            <v>143</v>
          </cell>
          <cell r="D72" t="str">
            <v>F</v>
          </cell>
          <cell r="E72">
            <v>40</v>
          </cell>
          <cell r="F72">
            <v>5.3029999999999999</v>
          </cell>
          <cell r="G72">
            <v>6500</v>
          </cell>
          <cell r="H72">
            <v>34471</v>
          </cell>
          <cell r="I72">
            <v>13881</v>
          </cell>
          <cell r="J72">
            <v>13881</v>
          </cell>
          <cell r="K72">
            <v>4354</v>
          </cell>
          <cell r="L72">
            <v>4354</v>
          </cell>
          <cell r="M72">
            <v>0</v>
          </cell>
          <cell r="N72">
            <v>4354</v>
          </cell>
          <cell r="O72">
            <v>4354</v>
          </cell>
          <cell r="P72">
            <v>4354</v>
          </cell>
          <cell r="Q72">
            <v>2585</v>
          </cell>
        </row>
        <row r="73">
          <cell r="C73">
            <v>147</v>
          </cell>
          <cell r="D73" t="str">
            <v>M</v>
          </cell>
          <cell r="E73">
            <v>37</v>
          </cell>
          <cell r="F73">
            <v>5.2530000000000001</v>
          </cell>
          <cell r="G73">
            <v>12625</v>
          </cell>
          <cell r="H73">
            <v>66331</v>
          </cell>
          <cell r="I73">
            <v>29771</v>
          </cell>
          <cell r="J73">
            <v>29771</v>
          </cell>
          <cell r="K73">
            <v>12477</v>
          </cell>
          <cell r="L73">
            <v>12477</v>
          </cell>
          <cell r="M73">
            <v>0</v>
          </cell>
          <cell r="N73">
            <v>12477</v>
          </cell>
          <cell r="O73">
            <v>12477</v>
          </cell>
          <cell r="P73">
            <v>12477</v>
          </cell>
          <cell r="Q73">
            <v>5598</v>
          </cell>
        </row>
        <row r="74">
          <cell r="C74">
            <v>149</v>
          </cell>
          <cell r="D74" t="str">
            <v>F</v>
          </cell>
          <cell r="E74">
            <v>36</v>
          </cell>
          <cell r="F74">
            <v>5.1360000000000001</v>
          </cell>
          <cell r="G74">
            <v>6250</v>
          </cell>
          <cell r="H74">
            <v>32101</v>
          </cell>
          <cell r="I74">
            <v>14776</v>
          </cell>
          <cell r="J74">
            <v>14776</v>
          </cell>
          <cell r="K74">
            <v>6415</v>
          </cell>
          <cell r="L74">
            <v>6415</v>
          </cell>
          <cell r="M74">
            <v>0</v>
          </cell>
          <cell r="N74">
            <v>6415</v>
          </cell>
          <cell r="O74">
            <v>6415</v>
          </cell>
          <cell r="P74">
            <v>6415</v>
          </cell>
          <cell r="Q74">
            <v>2842</v>
          </cell>
        </row>
        <row r="75">
          <cell r="C75" t="str">
            <v>All</v>
          </cell>
          <cell r="G75">
            <v>957761</v>
          </cell>
          <cell r="H75">
            <v>6063630</v>
          </cell>
          <cell r="I75">
            <v>4487783</v>
          </cell>
          <cell r="J75">
            <v>4591258</v>
          </cell>
          <cell r="K75">
            <v>2960029</v>
          </cell>
          <cell r="L75">
            <v>2960029</v>
          </cell>
          <cell r="M75">
            <v>0</v>
          </cell>
          <cell r="N75">
            <v>2960029</v>
          </cell>
          <cell r="O75">
            <v>2960029</v>
          </cell>
          <cell r="P75">
            <v>2960029</v>
          </cell>
          <cell r="Q75">
            <v>229368</v>
          </cell>
        </row>
        <row r="78">
          <cell r="C78" t="str">
            <v>Valuation Date 31DEC2024, Scenario=0,Prob Scenario=0,RFScenario=1,Inflation=0, Reporting Group B</v>
          </cell>
        </row>
        <row r="79">
          <cell r="G79" t="str">
            <v>Last Monthly Salary For Severance</v>
          </cell>
          <cell r="H79" t="str">
            <v>Pitzuim</v>
          </cell>
          <cell r="I79" t="str">
            <v>Salary Value</v>
          </cell>
          <cell r="J79" t="str">
            <v>Salary Value Final</v>
          </cell>
          <cell r="K79" t="str">
            <v>Severance Pay Fund</v>
          </cell>
          <cell r="L79" t="str">
            <v>Severance Pay Fund Value1</v>
          </cell>
          <cell r="M79" t="str">
            <v>Severance Pay Fund0</v>
          </cell>
          <cell r="N79" t="str">
            <v>Severance Pay Fund Value</v>
          </cell>
          <cell r="O79" t="str">
            <v>Severance Pay Fund Value Final</v>
          </cell>
          <cell r="P79" t="str">
            <v>Severance Pay Fund Value Final 2</v>
          </cell>
          <cell r="Q79" t="str">
            <v>Current Service Cost final</v>
          </cell>
        </row>
        <row r="80">
          <cell r="C80" t="str">
            <v>Unique Identity Number</v>
          </cell>
          <cell r="D80" t="str">
            <v>Gender</v>
          </cell>
          <cell r="E80" t="str">
            <v>Age</v>
          </cell>
          <cell r="F80" t="str">
            <v>Seniority in Yrs</v>
          </cell>
          <cell r="G80">
            <v>51500</v>
          </cell>
          <cell r="H80">
            <v>42914</v>
          </cell>
          <cell r="I80">
            <v>16538</v>
          </cell>
          <cell r="J80">
            <v>16538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C81">
            <v>2</v>
          </cell>
          <cell r="D81" t="str">
            <v>F</v>
          </cell>
          <cell r="E81">
            <v>37</v>
          </cell>
          <cell r="F81">
            <v>8.9770000000000003</v>
          </cell>
        </row>
        <row r="82">
          <cell r="C82">
            <v>4</v>
          </cell>
          <cell r="D82" t="str">
            <v>F</v>
          </cell>
          <cell r="E82">
            <v>55</v>
          </cell>
          <cell r="F82">
            <v>20.984999999999999</v>
          </cell>
          <cell r="G82">
            <v>12000</v>
          </cell>
          <cell r="H82">
            <v>251828</v>
          </cell>
          <cell r="I82">
            <v>237447</v>
          </cell>
          <cell r="J82">
            <v>237447</v>
          </cell>
          <cell r="K82">
            <v>140000</v>
          </cell>
          <cell r="L82">
            <v>140000</v>
          </cell>
          <cell r="M82">
            <v>0</v>
          </cell>
          <cell r="N82">
            <v>140000</v>
          </cell>
          <cell r="O82">
            <v>140000</v>
          </cell>
          <cell r="P82">
            <v>140000</v>
          </cell>
          <cell r="Q82">
            <v>11182</v>
          </cell>
        </row>
        <row r="83">
          <cell r="C83">
            <v>10</v>
          </cell>
          <cell r="D83" t="str">
            <v>M</v>
          </cell>
          <cell r="E83">
            <v>49</v>
          </cell>
          <cell r="F83">
            <v>6.3650000000000002</v>
          </cell>
          <cell r="G83">
            <v>10125</v>
          </cell>
          <cell r="H83">
            <v>24194</v>
          </cell>
          <cell r="I83">
            <v>11676</v>
          </cell>
          <cell r="J83">
            <v>11676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1351</v>
          </cell>
        </row>
        <row r="84">
          <cell r="C84">
            <v>12</v>
          </cell>
          <cell r="D84" t="str">
            <v>M</v>
          </cell>
          <cell r="E84">
            <v>49</v>
          </cell>
          <cell r="F84">
            <v>6.4530000000000003</v>
          </cell>
          <cell r="G84">
            <v>7625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C85">
            <v>16</v>
          </cell>
          <cell r="D85" t="str">
            <v>F</v>
          </cell>
          <cell r="E85">
            <v>50</v>
          </cell>
          <cell r="F85">
            <v>22.006</v>
          </cell>
          <cell r="G85">
            <v>10750</v>
          </cell>
          <cell r="H85">
            <v>192709</v>
          </cell>
          <cell r="I85">
            <v>158913</v>
          </cell>
          <cell r="J85">
            <v>158913</v>
          </cell>
          <cell r="K85">
            <v>150000</v>
          </cell>
          <cell r="L85">
            <v>150000</v>
          </cell>
          <cell r="M85">
            <v>0</v>
          </cell>
          <cell r="N85">
            <v>150000</v>
          </cell>
          <cell r="O85">
            <v>150000</v>
          </cell>
          <cell r="P85">
            <v>150000</v>
          </cell>
          <cell r="Q85">
            <v>2451</v>
          </cell>
        </row>
        <row r="86">
          <cell r="C86">
            <v>18</v>
          </cell>
          <cell r="D86" t="str">
            <v>F</v>
          </cell>
          <cell r="E86">
            <v>51</v>
          </cell>
          <cell r="F86">
            <v>12.339</v>
          </cell>
          <cell r="G86">
            <v>27000</v>
          </cell>
          <cell r="H86">
            <v>184066</v>
          </cell>
          <cell r="I86">
            <v>127505</v>
          </cell>
          <cell r="J86">
            <v>127505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C87">
            <v>22</v>
          </cell>
          <cell r="D87" t="str">
            <v>F</v>
          </cell>
          <cell r="E87">
            <v>50</v>
          </cell>
          <cell r="F87">
            <v>12.06</v>
          </cell>
          <cell r="G87">
            <v>60000</v>
          </cell>
          <cell r="H87">
            <v>474881</v>
          </cell>
          <cell r="I87">
            <v>356442</v>
          </cell>
          <cell r="J87">
            <v>356442</v>
          </cell>
          <cell r="K87">
            <v>280000</v>
          </cell>
          <cell r="L87">
            <v>280000</v>
          </cell>
          <cell r="M87">
            <v>0</v>
          </cell>
          <cell r="N87">
            <v>280000</v>
          </cell>
          <cell r="O87">
            <v>280000</v>
          </cell>
          <cell r="P87">
            <v>280000</v>
          </cell>
          <cell r="Q87">
            <v>12453</v>
          </cell>
        </row>
        <row r="88">
          <cell r="C88">
            <v>24</v>
          </cell>
          <cell r="D88" t="str">
            <v>M</v>
          </cell>
          <cell r="E88">
            <v>42</v>
          </cell>
          <cell r="F88">
            <v>6.1680000000000001</v>
          </cell>
          <cell r="G88">
            <v>30000</v>
          </cell>
          <cell r="H88">
            <v>24969</v>
          </cell>
          <cell r="I88">
            <v>10253</v>
          </cell>
          <cell r="J88">
            <v>10253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C89">
            <v>26</v>
          </cell>
          <cell r="D89" t="str">
            <v>F</v>
          </cell>
          <cell r="E89">
            <v>47</v>
          </cell>
          <cell r="F89">
            <v>6.0419999999999998</v>
          </cell>
          <cell r="G89">
            <v>26089</v>
          </cell>
          <cell r="H89">
            <v>24785</v>
          </cell>
          <cell r="I89">
            <v>99287</v>
          </cell>
          <cell r="J89">
            <v>180000</v>
          </cell>
          <cell r="K89">
            <v>180000</v>
          </cell>
          <cell r="L89">
            <v>180000</v>
          </cell>
          <cell r="M89">
            <v>0</v>
          </cell>
          <cell r="N89">
            <v>180000</v>
          </cell>
          <cell r="O89">
            <v>180000</v>
          </cell>
          <cell r="P89">
            <v>180000</v>
          </cell>
          <cell r="Q89">
            <v>0</v>
          </cell>
        </row>
        <row r="90">
          <cell r="C90">
            <v>28</v>
          </cell>
          <cell r="D90" t="str">
            <v>F</v>
          </cell>
          <cell r="E90">
            <v>45</v>
          </cell>
          <cell r="F90">
            <v>6.9210000000000003</v>
          </cell>
          <cell r="G90">
            <v>28250</v>
          </cell>
          <cell r="H90">
            <v>195526</v>
          </cell>
          <cell r="I90">
            <v>226933</v>
          </cell>
          <cell r="J90">
            <v>250000</v>
          </cell>
          <cell r="K90">
            <v>250000</v>
          </cell>
          <cell r="L90">
            <v>250000</v>
          </cell>
          <cell r="M90">
            <v>0</v>
          </cell>
          <cell r="N90">
            <v>250000</v>
          </cell>
          <cell r="O90">
            <v>250000</v>
          </cell>
          <cell r="P90">
            <v>250000</v>
          </cell>
          <cell r="Q90">
            <v>35671</v>
          </cell>
        </row>
        <row r="91">
          <cell r="C91">
            <v>30</v>
          </cell>
          <cell r="D91" t="str">
            <v>M</v>
          </cell>
          <cell r="E91">
            <v>41</v>
          </cell>
          <cell r="F91">
            <v>8.1880000000000006</v>
          </cell>
          <cell r="G91">
            <v>10750</v>
          </cell>
          <cell r="H91">
            <v>32493</v>
          </cell>
          <cell r="I91">
            <v>11473</v>
          </cell>
          <cell r="J91">
            <v>11473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>
            <v>32</v>
          </cell>
          <cell r="D92" t="str">
            <v>M</v>
          </cell>
          <cell r="E92">
            <v>37</v>
          </cell>
          <cell r="F92">
            <v>15.375</v>
          </cell>
          <cell r="G92">
            <v>20750</v>
          </cell>
          <cell r="H92">
            <v>319047</v>
          </cell>
          <cell r="I92">
            <v>223643</v>
          </cell>
          <cell r="J92">
            <v>223643</v>
          </cell>
          <cell r="K92">
            <v>180000</v>
          </cell>
          <cell r="L92">
            <v>180000</v>
          </cell>
          <cell r="M92">
            <v>0</v>
          </cell>
          <cell r="N92">
            <v>180000</v>
          </cell>
          <cell r="O92">
            <v>180000</v>
          </cell>
          <cell r="P92">
            <v>180000</v>
          </cell>
          <cell r="Q92">
            <v>14369</v>
          </cell>
        </row>
        <row r="93">
          <cell r="C93">
            <v>34</v>
          </cell>
          <cell r="D93" t="str">
            <v>M</v>
          </cell>
          <cell r="E93">
            <v>42</v>
          </cell>
          <cell r="F93">
            <v>21.085999999999999</v>
          </cell>
          <cell r="G93">
            <v>32000</v>
          </cell>
          <cell r="H93">
            <v>475116</v>
          </cell>
          <cell r="I93">
            <v>335350</v>
          </cell>
          <cell r="J93">
            <v>335350</v>
          </cell>
          <cell r="K93">
            <v>240000</v>
          </cell>
          <cell r="L93">
            <v>240000</v>
          </cell>
          <cell r="M93">
            <v>0</v>
          </cell>
          <cell r="N93">
            <v>240000</v>
          </cell>
          <cell r="O93">
            <v>240000</v>
          </cell>
          <cell r="P93">
            <v>240000</v>
          </cell>
          <cell r="Q93">
            <v>0</v>
          </cell>
        </row>
        <row r="94">
          <cell r="C94">
            <v>36</v>
          </cell>
          <cell r="D94" t="str">
            <v>M</v>
          </cell>
          <cell r="E94">
            <v>46</v>
          </cell>
          <cell r="F94">
            <v>13.587</v>
          </cell>
          <cell r="G94">
            <v>8250</v>
          </cell>
          <cell r="H94">
            <v>67423</v>
          </cell>
          <cell r="I94">
            <v>33351</v>
          </cell>
          <cell r="J94">
            <v>33351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38</v>
          </cell>
          <cell r="D95" t="str">
            <v>M</v>
          </cell>
          <cell r="E95">
            <v>46</v>
          </cell>
          <cell r="F95">
            <v>11.83</v>
          </cell>
          <cell r="G95">
            <v>17000</v>
          </cell>
          <cell r="H95">
            <v>56312</v>
          </cell>
          <cell r="I95">
            <v>27863</v>
          </cell>
          <cell r="J95">
            <v>27863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2326</v>
          </cell>
        </row>
        <row r="96">
          <cell r="C96">
            <v>42</v>
          </cell>
          <cell r="D96" t="str">
            <v>F</v>
          </cell>
          <cell r="E96">
            <v>28</v>
          </cell>
          <cell r="F96">
            <v>6.3289999999999997</v>
          </cell>
          <cell r="G96">
            <v>8875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C97">
            <v>44</v>
          </cell>
          <cell r="D97" t="str">
            <v>M</v>
          </cell>
          <cell r="E97">
            <v>46</v>
          </cell>
          <cell r="F97">
            <v>12.339</v>
          </cell>
          <cell r="G97">
            <v>15063</v>
          </cell>
          <cell r="H97">
            <v>52042</v>
          </cell>
          <cell r="I97">
            <v>25739</v>
          </cell>
          <cell r="J97">
            <v>25739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2060</v>
          </cell>
        </row>
        <row r="98">
          <cell r="C98">
            <v>46</v>
          </cell>
          <cell r="D98" t="str">
            <v>F</v>
          </cell>
          <cell r="E98">
            <v>63</v>
          </cell>
          <cell r="F98">
            <v>26.085999999999999</v>
          </cell>
          <cell r="G98">
            <v>17000</v>
          </cell>
          <cell r="H98">
            <v>443466</v>
          </cell>
          <cell r="I98">
            <v>446655</v>
          </cell>
          <cell r="J98">
            <v>446655</v>
          </cell>
          <cell r="K98">
            <v>350000</v>
          </cell>
          <cell r="L98">
            <v>350000</v>
          </cell>
          <cell r="M98">
            <v>0</v>
          </cell>
          <cell r="N98">
            <v>350000</v>
          </cell>
          <cell r="O98">
            <v>350000</v>
          </cell>
          <cell r="P98">
            <v>350000</v>
          </cell>
          <cell r="Q98">
            <v>16969</v>
          </cell>
        </row>
        <row r="99">
          <cell r="C99">
            <v>48</v>
          </cell>
          <cell r="D99" t="str">
            <v>F</v>
          </cell>
          <cell r="E99">
            <v>48</v>
          </cell>
          <cell r="F99">
            <v>24.251000000000001</v>
          </cell>
          <cell r="G99">
            <v>17250</v>
          </cell>
          <cell r="H99">
            <v>264102</v>
          </cell>
          <cell r="I99">
            <v>177043</v>
          </cell>
          <cell r="J99">
            <v>177043</v>
          </cell>
          <cell r="K99">
            <v>120000</v>
          </cell>
          <cell r="L99">
            <v>120000</v>
          </cell>
          <cell r="M99">
            <v>0</v>
          </cell>
          <cell r="N99">
            <v>120000</v>
          </cell>
          <cell r="O99">
            <v>120000</v>
          </cell>
          <cell r="P99">
            <v>120000</v>
          </cell>
          <cell r="Q99">
            <v>3198</v>
          </cell>
        </row>
        <row r="100">
          <cell r="C100">
            <v>50</v>
          </cell>
          <cell r="D100" t="str">
            <v>M</v>
          </cell>
          <cell r="E100">
            <v>53</v>
          </cell>
          <cell r="F100">
            <v>5.1769999999999996</v>
          </cell>
          <cell r="G100">
            <v>28250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>
            <v>72</v>
          </cell>
          <cell r="D101" t="str">
            <v>F</v>
          </cell>
          <cell r="E101">
            <v>49</v>
          </cell>
          <cell r="F101">
            <v>18.754000000000001</v>
          </cell>
          <cell r="G101">
            <v>40000</v>
          </cell>
          <cell r="H101">
            <v>750171</v>
          </cell>
          <cell r="I101">
            <v>673573</v>
          </cell>
          <cell r="J101">
            <v>673573</v>
          </cell>
          <cell r="K101">
            <v>500000</v>
          </cell>
          <cell r="L101">
            <v>500000</v>
          </cell>
          <cell r="M101">
            <v>0</v>
          </cell>
          <cell r="N101">
            <v>500000</v>
          </cell>
          <cell r="O101">
            <v>500000</v>
          </cell>
          <cell r="P101">
            <v>500000</v>
          </cell>
          <cell r="Q101">
            <v>35469</v>
          </cell>
        </row>
        <row r="102">
          <cell r="C102">
            <v>74</v>
          </cell>
          <cell r="D102" t="str">
            <v>F</v>
          </cell>
          <cell r="E102">
            <v>49</v>
          </cell>
          <cell r="F102">
            <v>17.82</v>
          </cell>
          <cell r="G102">
            <v>19140</v>
          </cell>
          <cell r="H102">
            <v>341088</v>
          </cell>
          <cell r="I102">
            <v>315740</v>
          </cell>
          <cell r="J102">
            <v>315740</v>
          </cell>
          <cell r="K102">
            <v>250000</v>
          </cell>
          <cell r="L102">
            <v>250000</v>
          </cell>
          <cell r="M102">
            <v>0</v>
          </cell>
          <cell r="N102">
            <v>250000</v>
          </cell>
          <cell r="O102">
            <v>250000</v>
          </cell>
          <cell r="P102">
            <v>250000</v>
          </cell>
          <cell r="Q102">
            <v>17497</v>
          </cell>
        </row>
        <row r="103">
          <cell r="C103">
            <v>76</v>
          </cell>
          <cell r="D103" t="str">
            <v>M</v>
          </cell>
          <cell r="E103">
            <v>47</v>
          </cell>
          <cell r="F103">
            <v>15.98</v>
          </cell>
          <cell r="G103">
            <v>21600</v>
          </cell>
          <cell r="H103">
            <v>345186</v>
          </cell>
          <cell r="I103">
            <v>257539</v>
          </cell>
          <cell r="J103">
            <v>257539</v>
          </cell>
          <cell r="K103">
            <v>220000</v>
          </cell>
          <cell r="L103">
            <v>220000</v>
          </cell>
          <cell r="M103">
            <v>0</v>
          </cell>
          <cell r="N103">
            <v>220000</v>
          </cell>
          <cell r="O103">
            <v>220000</v>
          </cell>
          <cell r="P103">
            <v>220000</v>
          </cell>
          <cell r="Q103">
            <v>15915</v>
          </cell>
        </row>
        <row r="104">
          <cell r="C104">
            <v>80</v>
          </cell>
          <cell r="D104" t="str">
            <v>F</v>
          </cell>
          <cell r="E104">
            <v>50</v>
          </cell>
          <cell r="F104">
            <v>5.0919999999999996</v>
          </cell>
          <cell r="G104">
            <v>25500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C105">
            <v>82</v>
          </cell>
          <cell r="D105" t="str">
            <v>F</v>
          </cell>
          <cell r="E105">
            <v>47</v>
          </cell>
          <cell r="F105">
            <v>5.3739999999999997</v>
          </cell>
          <cell r="G105">
            <v>24500</v>
          </cell>
          <cell r="H105">
            <v>67</v>
          </cell>
          <cell r="I105">
            <v>37</v>
          </cell>
          <cell r="J105">
            <v>37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C106">
            <v>84</v>
          </cell>
          <cell r="D106" t="str">
            <v>M</v>
          </cell>
          <cell r="E106">
            <v>45</v>
          </cell>
          <cell r="F106">
            <v>5.1769999999999996</v>
          </cell>
          <cell r="G106">
            <v>23500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C107">
            <v>86</v>
          </cell>
          <cell r="D107" t="str">
            <v>F</v>
          </cell>
          <cell r="E107">
            <v>44</v>
          </cell>
          <cell r="F107">
            <v>12.98</v>
          </cell>
          <cell r="G107">
            <v>18420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C108">
            <v>88</v>
          </cell>
          <cell r="D108" t="str">
            <v>F</v>
          </cell>
          <cell r="E108">
            <v>43</v>
          </cell>
          <cell r="F108">
            <v>5.4669999999999996</v>
          </cell>
          <cell r="G108">
            <v>22000</v>
          </cell>
          <cell r="H108">
            <v>60142</v>
          </cell>
          <cell r="I108">
            <v>26675</v>
          </cell>
          <cell r="J108">
            <v>26675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4818</v>
          </cell>
        </row>
        <row r="109">
          <cell r="C109">
            <v>90</v>
          </cell>
          <cell r="D109" t="str">
            <v>F</v>
          </cell>
          <cell r="E109">
            <v>37</v>
          </cell>
          <cell r="F109">
            <v>10.874000000000001</v>
          </cell>
          <cell r="G109">
            <v>22500</v>
          </cell>
          <cell r="H109">
            <v>17680</v>
          </cell>
          <cell r="I109">
            <v>19005</v>
          </cell>
          <cell r="J109">
            <v>20000</v>
          </cell>
          <cell r="K109">
            <v>20000</v>
          </cell>
          <cell r="L109">
            <v>20000</v>
          </cell>
          <cell r="M109">
            <v>0</v>
          </cell>
          <cell r="N109">
            <v>20000</v>
          </cell>
          <cell r="O109">
            <v>20000</v>
          </cell>
          <cell r="P109">
            <v>20000</v>
          </cell>
          <cell r="Q109">
            <v>0</v>
          </cell>
        </row>
        <row r="110">
          <cell r="C110">
            <v>92</v>
          </cell>
          <cell r="D110" t="str">
            <v>M</v>
          </cell>
          <cell r="E110">
            <v>46</v>
          </cell>
          <cell r="F110">
            <v>5.4509999999999996</v>
          </cell>
          <cell r="G110">
            <v>10338</v>
          </cell>
          <cell r="H110">
            <v>28</v>
          </cell>
          <cell r="I110">
            <v>14</v>
          </cell>
          <cell r="J110">
            <v>14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C111">
            <v>94</v>
          </cell>
          <cell r="D111" t="str">
            <v>F</v>
          </cell>
          <cell r="E111">
            <v>46</v>
          </cell>
          <cell r="F111">
            <v>16.417999999999999</v>
          </cell>
          <cell r="G111">
            <v>12000</v>
          </cell>
          <cell r="H111">
            <v>197027</v>
          </cell>
          <cell r="I111">
            <v>183605</v>
          </cell>
          <cell r="J111">
            <v>200000</v>
          </cell>
          <cell r="K111">
            <v>200000</v>
          </cell>
          <cell r="L111">
            <v>200000</v>
          </cell>
          <cell r="M111">
            <v>0</v>
          </cell>
          <cell r="N111">
            <v>200000</v>
          </cell>
          <cell r="O111">
            <v>200000</v>
          </cell>
          <cell r="P111">
            <v>200000</v>
          </cell>
          <cell r="Q111">
            <v>12030</v>
          </cell>
        </row>
        <row r="112">
          <cell r="C112">
            <v>96</v>
          </cell>
          <cell r="D112" t="str">
            <v>M</v>
          </cell>
          <cell r="E112">
            <v>38</v>
          </cell>
          <cell r="F112">
            <v>6.343</v>
          </cell>
          <cell r="G112">
            <v>39000</v>
          </cell>
          <cell r="H112">
            <v>6674</v>
          </cell>
          <cell r="I112">
            <v>2529</v>
          </cell>
          <cell r="J112">
            <v>2529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>
            <v>98</v>
          </cell>
          <cell r="D113" t="str">
            <v>F</v>
          </cell>
          <cell r="E113">
            <v>40</v>
          </cell>
          <cell r="F113">
            <v>15.942</v>
          </cell>
          <cell r="G113">
            <v>20180</v>
          </cell>
          <cell r="H113">
            <v>321720</v>
          </cell>
          <cell r="I113">
            <v>154235</v>
          </cell>
          <cell r="J113">
            <v>154235</v>
          </cell>
          <cell r="K113">
            <v>70000</v>
          </cell>
          <cell r="L113">
            <v>70000</v>
          </cell>
          <cell r="M113">
            <v>0</v>
          </cell>
          <cell r="N113">
            <v>70000</v>
          </cell>
          <cell r="O113">
            <v>70000</v>
          </cell>
          <cell r="P113">
            <v>70000</v>
          </cell>
          <cell r="Q113">
            <v>9554</v>
          </cell>
        </row>
        <row r="114">
          <cell r="C114">
            <v>100</v>
          </cell>
          <cell r="D114" t="str">
            <v>M</v>
          </cell>
          <cell r="E114">
            <v>59</v>
          </cell>
          <cell r="F114">
            <v>5.9710000000000001</v>
          </cell>
          <cell r="G114">
            <v>40000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102</v>
          </cell>
          <cell r="D115" t="str">
            <v>M</v>
          </cell>
          <cell r="E115">
            <v>35</v>
          </cell>
          <cell r="F115">
            <v>5.8339999999999996</v>
          </cell>
          <cell r="G115">
            <v>18500</v>
          </cell>
          <cell r="H115">
            <v>53994</v>
          </cell>
          <cell r="I115">
            <v>19425</v>
          </cell>
          <cell r="J115">
            <v>19425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3288</v>
          </cell>
        </row>
        <row r="116">
          <cell r="C116">
            <v>104</v>
          </cell>
          <cell r="D116" t="str">
            <v>M</v>
          </cell>
          <cell r="E116">
            <v>33</v>
          </cell>
          <cell r="F116">
            <v>5.59</v>
          </cell>
          <cell r="G116">
            <v>11500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C117">
            <v>106</v>
          </cell>
          <cell r="D117" t="str">
            <v>F</v>
          </cell>
          <cell r="E117">
            <v>33</v>
          </cell>
          <cell r="F117">
            <v>6.1680000000000001</v>
          </cell>
          <cell r="G117">
            <v>19500</v>
          </cell>
          <cell r="H117">
            <v>60142</v>
          </cell>
          <cell r="I117">
            <v>22759</v>
          </cell>
          <cell r="J117">
            <v>22759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3645</v>
          </cell>
        </row>
        <row r="118">
          <cell r="C118">
            <v>108</v>
          </cell>
          <cell r="D118" t="str">
            <v>F</v>
          </cell>
          <cell r="E118">
            <v>53</v>
          </cell>
          <cell r="F118">
            <v>12.175000000000001</v>
          </cell>
          <cell r="G118">
            <v>24500</v>
          </cell>
          <cell r="H118">
            <v>149146</v>
          </cell>
          <cell r="I118">
            <v>110031</v>
          </cell>
          <cell r="J118">
            <v>110031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8928</v>
          </cell>
        </row>
        <row r="119">
          <cell r="C119">
            <v>110</v>
          </cell>
          <cell r="D119" t="str">
            <v>F</v>
          </cell>
          <cell r="E119">
            <v>51</v>
          </cell>
          <cell r="F119">
            <v>6.0419999999999998</v>
          </cell>
          <cell r="G119">
            <v>27500</v>
          </cell>
          <cell r="H119">
            <v>83084</v>
          </cell>
          <cell r="I119">
            <v>57374</v>
          </cell>
          <cell r="J119">
            <v>57374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9380</v>
          </cell>
        </row>
        <row r="120">
          <cell r="C120">
            <v>112</v>
          </cell>
          <cell r="D120" t="str">
            <v>M</v>
          </cell>
          <cell r="E120">
            <v>48</v>
          </cell>
          <cell r="F120">
            <v>17.059000000000001</v>
          </cell>
          <cell r="G120">
            <v>21776</v>
          </cell>
          <cell r="H120">
            <v>371493</v>
          </cell>
          <cell r="I120">
            <v>331178</v>
          </cell>
          <cell r="J120">
            <v>331178</v>
          </cell>
          <cell r="K120">
            <v>270000</v>
          </cell>
          <cell r="L120">
            <v>270000</v>
          </cell>
          <cell r="M120">
            <v>0</v>
          </cell>
          <cell r="N120">
            <v>270000</v>
          </cell>
          <cell r="O120">
            <v>270000</v>
          </cell>
          <cell r="P120">
            <v>270000</v>
          </cell>
          <cell r="Q120">
            <v>19172</v>
          </cell>
        </row>
        <row r="121">
          <cell r="C121">
            <v>116</v>
          </cell>
          <cell r="D121" t="str">
            <v>F</v>
          </cell>
          <cell r="E121">
            <v>48</v>
          </cell>
          <cell r="F121">
            <v>6.9210000000000003</v>
          </cell>
          <cell r="G121">
            <v>26000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C122">
            <v>118</v>
          </cell>
          <cell r="D122" t="str">
            <v>F</v>
          </cell>
          <cell r="E122">
            <v>58</v>
          </cell>
          <cell r="F122">
            <v>15.571999999999999</v>
          </cell>
          <cell r="G122">
            <v>14300</v>
          </cell>
          <cell r="H122">
            <v>222692</v>
          </cell>
          <cell r="I122">
            <v>193950</v>
          </cell>
          <cell r="J122">
            <v>193950</v>
          </cell>
          <cell r="K122">
            <v>156931</v>
          </cell>
          <cell r="L122">
            <v>156931</v>
          </cell>
          <cell r="M122">
            <v>0</v>
          </cell>
          <cell r="N122">
            <v>156931</v>
          </cell>
          <cell r="O122">
            <v>156931</v>
          </cell>
          <cell r="P122">
            <v>156931</v>
          </cell>
          <cell r="Q122">
            <v>12313</v>
          </cell>
        </row>
        <row r="123">
          <cell r="C123">
            <v>120</v>
          </cell>
          <cell r="D123" t="str">
            <v>M</v>
          </cell>
          <cell r="E123">
            <v>46</v>
          </cell>
          <cell r="F123">
            <v>13.727</v>
          </cell>
          <cell r="G123">
            <v>19500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C124">
            <v>122</v>
          </cell>
          <cell r="D124" t="str">
            <v>M</v>
          </cell>
          <cell r="E124">
            <v>58</v>
          </cell>
          <cell r="F124">
            <v>19.504000000000001</v>
          </cell>
          <cell r="G124">
            <v>24500</v>
          </cell>
          <cell r="H124">
            <v>477859</v>
          </cell>
          <cell r="I124">
            <v>474568</v>
          </cell>
          <cell r="J124">
            <v>474568</v>
          </cell>
          <cell r="K124">
            <v>327747</v>
          </cell>
          <cell r="L124">
            <v>327747</v>
          </cell>
          <cell r="M124">
            <v>0</v>
          </cell>
          <cell r="N124">
            <v>327747</v>
          </cell>
          <cell r="O124">
            <v>327747</v>
          </cell>
          <cell r="P124">
            <v>327747</v>
          </cell>
          <cell r="Q124">
            <v>24046</v>
          </cell>
        </row>
        <row r="125">
          <cell r="C125">
            <v>124</v>
          </cell>
          <cell r="D125" t="str">
            <v>M</v>
          </cell>
          <cell r="E125">
            <v>37</v>
          </cell>
          <cell r="F125">
            <v>10.006</v>
          </cell>
          <cell r="G125">
            <v>5000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126</v>
          </cell>
          <cell r="D126" t="str">
            <v>F</v>
          </cell>
          <cell r="E126">
            <v>56</v>
          </cell>
          <cell r="F126">
            <v>7.8410000000000002</v>
          </cell>
          <cell r="G126">
            <v>6125</v>
          </cell>
          <cell r="H126">
            <v>48027</v>
          </cell>
          <cell r="I126">
            <v>36143</v>
          </cell>
          <cell r="J126">
            <v>36143</v>
          </cell>
          <cell r="K126">
            <v>16625</v>
          </cell>
          <cell r="L126">
            <v>16625</v>
          </cell>
          <cell r="M126">
            <v>0</v>
          </cell>
          <cell r="N126">
            <v>16625</v>
          </cell>
          <cell r="O126">
            <v>16625</v>
          </cell>
          <cell r="P126">
            <v>16625</v>
          </cell>
          <cell r="Q126">
            <v>4555</v>
          </cell>
        </row>
        <row r="127">
          <cell r="C127">
            <v>130</v>
          </cell>
          <cell r="D127" t="str">
            <v>F</v>
          </cell>
          <cell r="E127">
            <v>46</v>
          </cell>
          <cell r="F127">
            <v>8.67</v>
          </cell>
          <cell r="G127">
            <v>7313</v>
          </cell>
          <cell r="H127">
            <v>63405</v>
          </cell>
          <cell r="I127">
            <v>36920</v>
          </cell>
          <cell r="J127">
            <v>36920</v>
          </cell>
          <cell r="K127">
            <v>19924</v>
          </cell>
          <cell r="L127">
            <v>19924</v>
          </cell>
          <cell r="M127">
            <v>0</v>
          </cell>
          <cell r="N127">
            <v>19924</v>
          </cell>
          <cell r="O127">
            <v>19924</v>
          </cell>
          <cell r="P127">
            <v>19924</v>
          </cell>
          <cell r="Q127">
            <v>4205</v>
          </cell>
        </row>
        <row r="128">
          <cell r="C128">
            <v>132</v>
          </cell>
          <cell r="D128" t="str">
            <v>F</v>
          </cell>
          <cell r="E128">
            <v>35</v>
          </cell>
          <cell r="F128">
            <v>8.67</v>
          </cell>
          <cell r="G128">
            <v>6750</v>
          </cell>
          <cell r="H128">
            <v>58528</v>
          </cell>
          <cell r="I128">
            <v>33826</v>
          </cell>
          <cell r="J128">
            <v>33826</v>
          </cell>
          <cell r="K128">
            <v>18790</v>
          </cell>
          <cell r="L128">
            <v>18790</v>
          </cell>
          <cell r="M128">
            <v>0</v>
          </cell>
          <cell r="N128">
            <v>18790</v>
          </cell>
          <cell r="O128">
            <v>18790</v>
          </cell>
          <cell r="P128">
            <v>18790</v>
          </cell>
          <cell r="Q128">
            <v>3854</v>
          </cell>
        </row>
        <row r="129">
          <cell r="C129">
            <v>134</v>
          </cell>
          <cell r="D129" t="str">
            <v>F</v>
          </cell>
          <cell r="E129">
            <v>45</v>
          </cell>
          <cell r="F129">
            <v>8.67</v>
          </cell>
          <cell r="G129">
            <v>6750</v>
          </cell>
          <cell r="H129">
            <v>58528</v>
          </cell>
          <cell r="I129">
            <v>41844</v>
          </cell>
          <cell r="J129">
            <v>41844</v>
          </cell>
          <cell r="K129">
            <v>25249</v>
          </cell>
          <cell r="L129">
            <v>25249</v>
          </cell>
          <cell r="M129">
            <v>0</v>
          </cell>
          <cell r="N129">
            <v>25249</v>
          </cell>
          <cell r="O129">
            <v>25249</v>
          </cell>
          <cell r="P129">
            <v>25249</v>
          </cell>
          <cell r="Q129">
            <v>4766</v>
          </cell>
        </row>
        <row r="130">
          <cell r="C130">
            <v>136</v>
          </cell>
          <cell r="D130" t="str">
            <v>F</v>
          </cell>
          <cell r="E130">
            <v>41</v>
          </cell>
          <cell r="F130">
            <v>8.67</v>
          </cell>
          <cell r="G130">
            <v>7125</v>
          </cell>
          <cell r="H130">
            <v>61779</v>
          </cell>
          <cell r="I130">
            <v>36247</v>
          </cell>
          <cell r="J130">
            <v>36247</v>
          </cell>
          <cell r="K130">
            <v>18598</v>
          </cell>
          <cell r="L130">
            <v>18598</v>
          </cell>
          <cell r="M130">
            <v>0</v>
          </cell>
          <cell r="N130">
            <v>18598</v>
          </cell>
          <cell r="O130">
            <v>18598</v>
          </cell>
          <cell r="P130">
            <v>18598</v>
          </cell>
          <cell r="Q130">
            <v>4128</v>
          </cell>
        </row>
        <row r="131">
          <cell r="C131">
            <v>138</v>
          </cell>
          <cell r="D131" t="str">
            <v>M</v>
          </cell>
          <cell r="E131">
            <v>50</v>
          </cell>
          <cell r="F131">
            <v>6.8470000000000004</v>
          </cell>
          <cell r="G131">
            <v>26375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C132">
            <v>140</v>
          </cell>
          <cell r="D132" t="str">
            <v>F</v>
          </cell>
          <cell r="E132">
            <v>43</v>
          </cell>
          <cell r="F132">
            <v>5.8639999999999999</v>
          </cell>
          <cell r="G132">
            <v>7250</v>
          </cell>
          <cell r="H132">
            <v>42517</v>
          </cell>
          <cell r="I132">
            <v>24757</v>
          </cell>
          <cell r="J132">
            <v>24757</v>
          </cell>
          <cell r="K132">
            <v>10510</v>
          </cell>
          <cell r="L132">
            <v>10510</v>
          </cell>
          <cell r="M132">
            <v>0</v>
          </cell>
          <cell r="N132">
            <v>10510</v>
          </cell>
          <cell r="O132">
            <v>10510</v>
          </cell>
          <cell r="P132">
            <v>10510</v>
          </cell>
          <cell r="Q132">
            <v>4169</v>
          </cell>
        </row>
        <row r="133">
          <cell r="C133">
            <v>142</v>
          </cell>
          <cell r="D133" t="str">
            <v>M</v>
          </cell>
          <cell r="E133">
            <v>51</v>
          </cell>
          <cell r="F133">
            <v>5.3710000000000004</v>
          </cell>
          <cell r="G133">
            <v>10750</v>
          </cell>
          <cell r="H133">
            <v>57745</v>
          </cell>
          <cell r="I133">
            <v>34856</v>
          </cell>
          <cell r="J133">
            <v>34856</v>
          </cell>
          <cell r="K133">
            <v>11828</v>
          </cell>
          <cell r="L133">
            <v>11828</v>
          </cell>
          <cell r="M133">
            <v>0</v>
          </cell>
          <cell r="N133">
            <v>11828</v>
          </cell>
          <cell r="O133">
            <v>11828</v>
          </cell>
          <cell r="P133">
            <v>11828</v>
          </cell>
          <cell r="Q133">
            <v>6408</v>
          </cell>
        </row>
        <row r="134">
          <cell r="C134">
            <v>144</v>
          </cell>
          <cell r="D134" t="str">
            <v>M</v>
          </cell>
          <cell r="E134">
            <v>38</v>
          </cell>
          <cell r="F134">
            <v>5.5049999999999999</v>
          </cell>
          <cell r="G134">
            <v>28206</v>
          </cell>
          <cell r="H134">
            <v>77</v>
          </cell>
          <cell r="I134">
            <v>29</v>
          </cell>
          <cell r="J134">
            <v>29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C135">
            <v>146</v>
          </cell>
          <cell r="D135" t="str">
            <v>F</v>
          </cell>
          <cell r="E135">
            <v>32</v>
          </cell>
          <cell r="F135">
            <v>5.1139999999999999</v>
          </cell>
          <cell r="G135">
            <v>11063</v>
          </cell>
          <cell r="H135">
            <v>56577</v>
          </cell>
          <cell r="I135">
            <v>27417</v>
          </cell>
          <cell r="J135">
            <v>27417</v>
          </cell>
          <cell r="K135">
            <v>10972</v>
          </cell>
          <cell r="L135">
            <v>10972</v>
          </cell>
          <cell r="M135">
            <v>0</v>
          </cell>
          <cell r="N135">
            <v>10972</v>
          </cell>
          <cell r="O135">
            <v>10972</v>
          </cell>
          <cell r="P135">
            <v>10972</v>
          </cell>
          <cell r="Q135">
            <v>5296</v>
          </cell>
        </row>
        <row r="136">
          <cell r="C136">
            <v>148</v>
          </cell>
          <cell r="D136" t="str">
            <v>M</v>
          </cell>
          <cell r="E136">
            <v>41</v>
          </cell>
          <cell r="F136">
            <v>5.234</v>
          </cell>
          <cell r="G136">
            <v>9500</v>
          </cell>
          <cell r="H136">
            <v>49730</v>
          </cell>
          <cell r="I136">
            <v>23756</v>
          </cell>
          <cell r="J136">
            <v>23756</v>
          </cell>
          <cell r="K136">
            <v>10356</v>
          </cell>
          <cell r="L136">
            <v>10356</v>
          </cell>
          <cell r="M136">
            <v>0</v>
          </cell>
          <cell r="N136">
            <v>10356</v>
          </cell>
          <cell r="O136">
            <v>10356</v>
          </cell>
          <cell r="P136">
            <v>10356</v>
          </cell>
          <cell r="Q136">
            <v>4482</v>
          </cell>
        </row>
        <row r="137">
          <cell r="C137">
            <v>150</v>
          </cell>
          <cell r="D137" t="str">
            <v>F</v>
          </cell>
          <cell r="E137">
            <v>30</v>
          </cell>
          <cell r="F137">
            <v>5.133</v>
          </cell>
          <cell r="G137">
            <v>6500</v>
          </cell>
          <cell r="H137">
            <v>33368</v>
          </cell>
          <cell r="I137">
            <v>16332</v>
          </cell>
          <cell r="J137">
            <v>16332</v>
          </cell>
          <cell r="K137">
            <v>6624</v>
          </cell>
          <cell r="L137">
            <v>6624</v>
          </cell>
          <cell r="M137">
            <v>0</v>
          </cell>
          <cell r="N137">
            <v>6624</v>
          </cell>
          <cell r="O137">
            <v>6624</v>
          </cell>
          <cell r="P137">
            <v>6624</v>
          </cell>
          <cell r="Q137">
            <v>3144</v>
          </cell>
        </row>
        <row r="138">
          <cell r="C138" t="str">
            <v>All</v>
          </cell>
          <cell r="G138">
            <v>1123486</v>
          </cell>
          <cell r="H138">
            <v>7114347</v>
          </cell>
          <cell r="I138">
            <v>5680475</v>
          </cell>
          <cell r="J138">
            <v>5801645</v>
          </cell>
          <cell r="K138">
            <v>4054155</v>
          </cell>
          <cell r="L138">
            <v>4054155</v>
          </cell>
          <cell r="M138">
            <v>0</v>
          </cell>
          <cell r="N138">
            <v>4054155</v>
          </cell>
          <cell r="O138">
            <v>4054155</v>
          </cell>
          <cell r="P138">
            <v>4054155</v>
          </cell>
          <cell r="Q138">
            <v>323094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Sheet1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3">
          <cell r="C23" t="str">
            <v>Unique Identity Number</v>
          </cell>
          <cell r="D23" t="str">
            <v>Gender</v>
          </cell>
          <cell r="E23" t="str">
            <v>Age</v>
          </cell>
          <cell r="F23" t="str">
            <v>Seniority in Yrs</v>
          </cell>
          <cell r="G23">
            <v>7013</v>
          </cell>
          <cell r="H23">
            <v>26284</v>
          </cell>
          <cell r="I23">
            <v>8227</v>
          </cell>
          <cell r="J23">
            <v>8227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1</v>
          </cell>
          <cell r="D24" t="str">
            <v>M</v>
          </cell>
          <cell r="E24">
            <v>40</v>
          </cell>
          <cell r="F24">
            <v>11.31</v>
          </cell>
        </row>
        <row r="25">
          <cell r="C25">
            <v>2</v>
          </cell>
          <cell r="D25" t="str">
            <v>F</v>
          </cell>
          <cell r="E25">
            <v>40</v>
          </cell>
          <cell r="F25">
            <v>10.728999999999999</v>
          </cell>
          <cell r="G25">
            <v>21888</v>
          </cell>
          <cell r="H25">
            <v>124910</v>
          </cell>
          <cell r="I25">
            <v>39784</v>
          </cell>
          <cell r="J25">
            <v>39784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1928</v>
          </cell>
        </row>
        <row r="26">
          <cell r="C26">
            <v>4</v>
          </cell>
          <cell r="D26" t="str">
            <v>F</v>
          </cell>
          <cell r="E26">
            <v>58</v>
          </cell>
          <cell r="F26">
            <v>22.736999999999998</v>
          </cell>
          <cell r="G26">
            <v>10200</v>
          </cell>
          <cell r="H26">
            <v>231926</v>
          </cell>
          <cell r="I26">
            <v>203983</v>
          </cell>
          <cell r="J26">
            <v>203983</v>
          </cell>
          <cell r="K26">
            <v>119000</v>
          </cell>
          <cell r="L26">
            <v>119000</v>
          </cell>
          <cell r="M26">
            <v>0</v>
          </cell>
          <cell r="N26">
            <v>119000</v>
          </cell>
          <cell r="O26">
            <v>119000</v>
          </cell>
          <cell r="P26">
            <v>119000</v>
          </cell>
          <cell r="Q26">
            <v>8870</v>
          </cell>
        </row>
        <row r="27">
          <cell r="C27">
            <v>7</v>
          </cell>
          <cell r="D27" t="str">
            <v>F</v>
          </cell>
          <cell r="E27">
            <v>57</v>
          </cell>
          <cell r="F27">
            <v>7.2469999999999999</v>
          </cell>
          <cell r="G27">
            <v>24722</v>
          </cell>
          <cell r="H27">
            <v>43250</v>
          </cell>
          <cell r="I27">
            <v>30549</v>
          </cell>
          <cell r="J27">
            <v>30549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9</v>
          </cell>
          <cell r="D28" t="str">
            <v>F</v>
          </cell>
          <cell r="E28">
            <v>52</v>
          </cell>
          <cell r="F28">
            <v>8.3360000000000003</v>
          </cell>
          <cell r="G28">
            <v>10944</v>
          </cell>
          <cell r="H28">
            <v>24599</v>
          </cell>
          <cell r="I28">
            <v>12976</v>
          </cell>
          <cell r="J28">
            <v>12976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10</v>
          </cell>
          <cell r="D29" t="str">
            <v>M</v>
          </cell>
          <cell r="E29">
            <v>52</v>
          </cell>
          <cell r="F29">
            <v>8.1120000000000001</v>
          </cell>
          <cell r="G29">
            <v>8606</v>
          </cell>
          <cell r="H29">
            <v>38702</v>
          </cell>
          <cell r="I29">
            <v>19356</v>
          </cell>
          <cell r="J29">
            <v>19356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1190</v>
          </cell>
        </row>
        <row r="30">
          <cell r="C30">
            <v>11</v>
          </cell>
          <cell r="D30" t="str">
            <v>M</v>
          </cell>
          <cell r="E30">
            <v>52</v>
          </cell>
          <cell r="F30">
            <v>22.587</v>
          </cell>
          <cell r="G30">
            <v>24013</v>
          </cell>
          <cell r="H30">
            <v>542377</v>
          </cell>
          <cell r="I30">
            <v>419010</v>
          </cell>
          <cell r="J30">
            <v>419010</v>
          </cell>
          <cell r="K30">
            <v>323000</v>
          </cell>
          <cell r="L30">
            <v>323000</v>
          </cell>
          <cell r="M30">
            <v>0</v>
          </cell>
          <cell r="N30">
            <v>323000</v>
          </cell>
          <cell r="O30">
            <v>323000</v>
          </cell>
          <cell r="P30">
            <v>323000</v>
          </cell>
          <cell r="Q30">
            <v>18320</v>
          </cell>
        </row>
        <row r="31">
          <cell r="C31">
            <v>12</v>
          </cell>
          <cell r="D31" t="str">
            <v>M</v>
          </cell>
          <cell r="E31">
            <v>52</v>
          </cell>
          <cell r="F31">
            <v>8.1989999999999998</v>
          </cell>
          <cell r="G31">
            <v>6481</v>
          </cell>
          <cell r="H31">
            <v>14568</v>
          </cell>
          <cell r="I31">
            <v>7283</v>
          </cell>
          <cell r="J31">
            <v>7283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13</v>
          </cell>
          <cell r="D32" t="str">
            <v>M</v>
          </cell>
          <cell r="E32">
            <v>52</v>
          </cell>
          <cell r="F32">
            <v>24.725000000000001</v>
          </cell>
          <cell r="G32">
            <v>25606</v>
          </cell>
          <cell r="H32">
            <v>484012</v>
          </cell>
          <cell r="I32">
            <v>338932</v>
          </cell>
          <cell r="J32">
            <v>338932</v>
          </cell>
          <cell r="K32">
            <v>212500</v>
          </cell>
          <cell r="L32">
            <v>212500</v>
          </cell>
          <cell r="M32">
            <v>0</v>
          </cell>
          <cell r="N32">
            <v>212500</v>
          </cell>
          <cell r="O32">
            <v>212500</v>
          </cell>
          <cell r="P32">
            <v>212500</v>
          </cell>
          <cell r="Q32">
            <v>0</v>
          </cell>
        </row>
        <row r="33">
          <cell r="C33">
            <v>15</v>
          </cell>
          <cell r="D33" t="str">
            <v>M</v>
          </cell>
          <cell r="E33">
            <v>55</v>
          </cell>
          <cell r="F33">
            <v>13.645</v>
          </cell>
          <cell r="G33">
            <v>34000</v>
          </cell>
          <cell r="H33">
            <v>221859</v>
          </cell>
          <cell r="I33">
            <v>129808</v>
          </cell>
          <cell r="J33">
            <v>129808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5503</v>
          </cell>
        </row>
        <row r="34">
          <cell r="C34">
            <v>16</v>
          </cell>
          <cell r="D34" t="str">
            <v>F</v>
          </cell>
          <cell r="E34">
            <v>54</v>
          </cell>
          <cell r="F34">
            <v>23.759</v>
          </cell>
          <cell r="G34">
            <v>9138</v>
          </cell>
          <cell r="H34">
            <v>183109</v>
          </cell>
          <cell r="I34">
            <v>156877</v>
          </cell>
          <cell r="J34">
            <v>156877</v>
          </cell>
          <cell r="K34">
            <v>127500</v>
          </cell>
          <cell r="L34">
            <v>127500</v>
          </cell>
          <cell r="M34">
            <v>0</v>
          </cell>
          <cell r="N34">
            <v>127500</v>
          </cell>
          <cell r="O34">
            <v>127500</v>
          </cell>
          <cell r="P34">
            <v>127500</v>
          </cell>
          <cell r="Q34">
            <v>2166</v>
          </cell>
        </row>
        <row r="35">
          <cell r="C35">
            <v>17</v>
          </cell>
          <cell r="D35" t="str">
            <v>F</v>
          </cell>
          <cell r="E35">
            <v>54</v>
          </cell>
          <cell r="F35">
            <v>18.707000000000001</v>
          </cell>
          <cell r="G35">
            <v>18169</v>
          </cell>
          <cell r="H35">
            <v>272312</v>
          </cell>
          <cell r="I35">
            <v>160209</v>
          </cell>
          <cell r="J35">
            <v>160209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2958</v>
          </cell>
        </row>
        <row r="36">
          <cell r="C36">
            <v>18</v>
          </cell>
          <cell r="D36" t="str">
            <v>F</v>
          </cell>
          <cell r="E36">
            <v>54</v>
          </cell>
          <cell r="F36">
            <v>14.087999999999999</v>
          </cell>
          <cell r="G36">
            <v>22950</v>
          </cell>
          <cell r="H36">
            <v>208105</v>
          </cell>
          <cell r="I36">
            <v>122308</v>
          </cell>
          <cell r="J36">
            <v>122308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19</v>
          </cell>
          <cell r="D37" t="str">
            <v>M</v>
          </cell>
          <cell r="E37">
            <v>53</v>
          </cell>
          <cell r="F37">
            <v>7.92</v>
          </cell>
          <cell r="G37">
            <v>22419</v>
          </cell>
          <cell r="H37">
            <v>59783</v>
          </cell>
          <cell r="I37">
            <v>49611</v>
          </cell>
          <cell r="J37">
            <v>49611</v>
          </cell>
          <cell r="K37">
            <v>42500</v>
          </cell>
          <cell r="L37">
            <v>42500</v>
          </cell>
          <cell r="M37">
            <v>0</v>
          </cell>
          <cell r="N37">
            <v>42500</v>
          </cell>
          <cell r="O37">
            <v>42500</v>
          </cell>
          <cell r="P37">
            <v>42500</v>
          </cell>
          <cell r="Q37">
            <v>0</v>
          </cell>
        </row>
        <row r="38">
          <cell r="C38">
            <v>21</v>
          </cell>
          <cell r="D38" t="str">
            <v>M</v>
          </cell>
          <cell r="E38">
            <v>53</v>
          </cell>
          <cell r="F38">
            <v>23.759</v>
          </cell>
          <cell r="G38">
            <v>20825</v>
          </cell>
          <cell r="H38">
            <v>78169</v>
          </cell>
          <cell r="I38">
            <v>40724</v>
          </cell>
          <cell r="J38">
            <v>40724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22</v>
          </cell>
          <cell r="D39" t="str">
            <v>F</v>
          </cell>
          <cell r="E39">
            <v>53</v>
          </cell>
          <cell r="F39">
            <v>13.815</v>
          </cell>
          <cell r="G39">
            <v>51000</v>
          </cell>
          <cell r="H39">
            <v>511550</v>
          </cell>
          <cell r="I39">
            <v>384400</v>
          </cell>
          <cell r="J39">
            <v>384400</v>
          </cell>
          <cell r="K39">
            <v>238000</v>
          </cell>
          <cell r="L39">
            <v>238000</v>
          </cell>
          <cell r="M39">
            <v>0</v>
          </cell>
          <cell r="N39">
            <v>238000</v>
          </cell>
          <cell r="O39">
            <v>238000</v>
          </cell>
          <cell r="P39">
            <v>238000</v>
          </cell>
          <cell r="Q39">
            <v>10601</v>
          </cell>
        </row>
        <row r="40">
          <cell r="C40">
            <v>24</v>
          </cell>
          <cell r="D40" t="str">
            <v>M</v>
          </cell>
          <cell r="E40">
            <v>45</v>
          </cell>
          <cell r="F40">
            <v>7.915</v>
          </cell>
          <cell r="G40">
            <v>25500</v>
          </cell>
          <cell r="H40">
            <v>65836</v>
          </cell>
          <cell r="I40">
            <v>23473</v>
          </cell>
          <cell r="J40">
            <v>23473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C41">
            <v>25</v>
          </cell>
          <cell r="D41" t="str">
            <v>M</v>
          </cell>
          <cell r="E41">
            <v>51</v>
          </cell>
          <cell r="F41">
            <v>13.923999999999999</v>
          </cell>
          <cell r="G41">
            <v>8606</v>
          </cell>
          <cell r="H41">
            <v>73963</v>
          </cell>
          <cell r="I41">
            <v>35241</v>
          </cell>
          <cell r="J41">
            <v>35241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26</v>
          </cell>
          <cell r="D42" t="str">
            <v>F</v>
          </cell>
          <cell r="E42">
            <v>50</v>
          </cell>
          <cell r="F42">
            <v>7.7939999999999996</v>
          </cell>
          <cell r="G42">
            <v>22175</v>
          </cell>
          <cell r="H42">
            <v>59984</v>
          </cell>
          <cell r="I42">
            <v>153000</v>
          </cell>
          <cell r="J42">
            <v>153000</v>
          </cell>
          <cell r="K42">
            <v>153000</v>
          </cell>
          <cell r="L42">
            <v>153000</v>
          </cell>
          <cell r="M42">
            <v>0</v>
          </cell>
          <cell r="N42">
            <v>153000</v>
          </cell>
          <cell r="O42">
            <v>153000</v>
          </cell>
          <cell r="P42">
            <v>153000</v>
          </cell>
          <cell r="Q42">
            <v>0</v>
          </cell>
        </row>
        <row r="43">
          <cell r="C43">
            <v>27</v>
          </cell>
          <cell r="D43" t="str">
            <v>M</v>
          </cell>
          <cell r="E43">
            <v>48</v>
          </cell>
          <cell r="F43">
            <v>18.707000000000001</v>
          </cell>
          <cell r="G43">
            <v>11263</v>
          </cell>
          <cell r="H43">
            <v>42275</v>
          </cell>
          <cell r="I43">
            <v>17148</v>
          </cell>
          <cell r="J43">
            <v>17148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28</v>
          </cell>
          <cell r="D44" t="str">
            <v>F</v>
          </cell>
          <cell r="E44">
            <v>48</v>
          </cell>
          <cell r="F44">
            <v>8.673</v>
          </cell>
          <cell r="G44">
            <v>24013</v>
          </cell>
          <cell r="H44">
            <v>208273</v>
          </cell>
          <cell r="I44">
            <v>212500</v>
          </cell>
          <cell r="J44">
            <v>212500</v>
          </cell>
          <cell r="K44">
            <v>212500</v>
          </cell>
          <cell r="L44">
            <v>212500</v>
          </cell>
          <cell r="M44">
            <v>0</v>
          </cell>
          <cell r="N44">
            <v>212500</v>
          </cell>
          <cell r="O44">
            <v>212500</v>
          </cell>
          <cell r="P44">
            <v>212500</v>
          </cell>
          <cell r="Q44">
            <v>24204</v>
          </cell>
        </row>
        <row r="45">
          <cell r="C45">
            <v>30</v>
          </cell>
          <cell r="D45" t="str">
            <v>M</v>
          </cell>
          <cell r="E45">
            <v>44</v>
          </cell>
          <cell r="F45">
            <v>9.9380000000000006</v>
          </cell>
          <cell r="G45">
            <v>9138</v>
          </cell>
          <cell r="H45">
            <v>43630</v>
          </cell>
          <cell r="I45">
            <v>15054</v>
          </cell>
          <cell r="J45">
            <v>15054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C46">
            <v>31</v>
          </cell>
          <cell r="D46" t="str">
            <v>F</v>
          </cell>
          <cell r="E46">
            <v>40</v>
          </cell>
          <cell r="F46">
            <v>8.6020000000000003</v>
          </cell>
          <cell r="G46">
            <v>7239</v>
          </cell>
          <cell r="H46">
            <v>19977</v>
          </cell>
          <cell r="I46">
            <v>6349</v>
          </cell>
          <cell r="J46">
            <v>6349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32</v>
          </cell>
          <cell r="D47" t="str">
            <v>M</v>
          </cell>
          <cell r="E47">
            <v>40</v>
          </cell>
          <cell r="F47">
            <v>17.125</v>
          </cell>
          <cell r="G47">
            <v>17638</v>
          </cell>
          <cell r="H47">
            <v>302047</v>
          </cell>
          <cell r="I47">
            <v>194983</v>
          </cell>
          <cell r="J47">
            <v>194983</v>
          </cell>
          <cell r="K47">
            <v>153000</v>
          </cell>
          <cell r="L47">
            <v>153000</v>
          </cell>
          <cell r="M47">
            <v>0</v>
          </cell>
          <cell r="N47">
            <v>153000</v>
          </cell>
          <cell r="O47">
            <v>153000</v>
          </cell>
          <cell r="P47">
            <v>153000</v>
          </cell>
          <cell r="Q47">
            <v>11248</v>
          </cell>
        </row>
        <row r="48">
          <cell r="C48">
            <v>33</v>
          </cell>
          <cell r="D48" t="str">
            <v>F</v>
          </cell>
          <cell r="E48">
            <v>39</v>
          </cell>
          <cell r="F48">
            <v>17.675000000000001</v>
          </cell>
          <cell r="G48">
            <v>6667</v>
          </cell>
          <cell r="H48">
            <v>117846</v>
          </cell>
          <cell r="I48">
            <v>81644</v>
          </cell>
          <cell r="J48">
            <v>81644</v>
          </cell>
          <cell r="K48">
            <v>68000</v>
          </cell>
          <cell r="L48">
            <v>68000</v>
          </cell>
          <cell r="M48">
            <v>0</v>
          </cell>
          <cell r="N48">
            <v>68000</v>
          </cell>
          <cell r="O48">
            <v>68000</v>
          </cell>
          <cell r="P48">
            <v>68000</v>
          </cell>
          <cell r="Q48">
            <v>4563</v>
          </cell>
        </row>
        <row r="49">
          <cell r="C49">
            <v>34</v>
          </cell>
          <cell r="D49" t="str">
            <v>M</v>
          </cell>
          <cell r="E49">
            <v>46</v>
          </cell>
          <cell r="F49">
            <v>22.838999999999999</v>
          </cell>
          <cell r="G49">
            <v>27200</v>
          </cell>
          <cell r="H49">
            <v>465137</v>
          </cell>
          <cell r="I49">
            <v>293080</v>
          </cell>
          <cell r="J49">
            <v>293080</v>
          </cell>
          <cell r="K49">
            <v>204000</v>
          </cell>
          <cell r="L49">
            <v>204000</v>
          </cell>
          <cell r="M49">
            <v>0</v>
          </cell>
          <cell r="N49">
            <v>204000</v>
          </cell>
          <cell r="O49">
            <v>204000</v>
          </cell>
          <cell r="P49">
            <v>204000</v>
          </cell>
          <cell r="Q49">
            <v>0</v>
          </cell>
        </row>
        <row r="50">
          <cell r="C50">
            <v>36</v>
          </cell>
          <cell r="D50" t="str">
            <v>M</v>
          </cell>
          <cell r="E50">
            <v>49</v>
          </cell>
          <cell r="F50">
            <v>15.334</v>
          </cell>
          <cell r="G50">
            <v>7013</v>
          </cell>
          <cell r="H50">
            <v>69578</v>
          </cell>
          <cell r="I50">
            <v>29742</v>
          </cell>
          <cell r="J50">
            <v>29742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37</v>
          </cell>
          <cell r="D51" t="str">
            <v>M</v>
          </cell>
          <cell r="E51">
            <v>49</v>
          </cell>
          <cell r="F51">
            <v>18.420000000000002</v>
          </cell>
          <cell r="G51">
            <v>17106</v>
          </cell>
          <cell r="H51">
            <v>220918</v>
          </cell>
          <cell r="I51">
            <v>162145</v>
          </cell>
          <cell r="J51">
            <v>162145</v>
          </cell>
          <cell r="K51">
            <v>127500</v>
          </cell>
          <cell r="L51">
            <v>127500</v>
          </cell>
          <cell r="M51">
            <v>0</v>
          </cell>
          <cell r="N51">
            <v>127500</v>
          </cell>
          <cell r="O51">
            <v>127500</v>
          </cell>
          <cell r="P51">
            <v>127500</v>
          </cell>
          <cell r="Q51">
            <v>0</v>
          </cell>
        </row>
        <row r="52">
          <cell r="C52">
            <v>38</v>
          </cell>
          <cell r="D52" t="str">
            <v>M</v>
          </cell>
          <cell r="E52">
            <v>49</v>
          </cell>
          <cell r="F52">
            <v>13.579000000000001</v>
          </cell>
          <cell r="G52">
            <v>14450</v>
          </cell>
          <cell r="H52">
            <v>93939</v>
          </cell>
          <cell r="I52">
            <v>40407</v>
          </cell>
          <cell r="J52">
            <v>40407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1719</v>
          </cell>
        </row>
        <row r="53">
          <cell r="C53">
            <v>39</v>
          </cell>
          <cell r="D53" t="str">
            <v>M</v>
          </cell>
          <cell r="E53">
            <v>41</v>
          </cell>
          <cell r="F53">
            <v>12.18</v>
          </cell>
          <cell r="G53">
            <v>9669</v>
          </cell>
          <cell r="H53">
            <v>36266</v>
          </cell>
          <cell r="I53">
            <v>11580</v>
          </cell>
          <cell r="J53">
            <v>11580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41</v>
          </cell>
          <cell r="D54" t="str">
            <v>F</v>
          </cell>
          <cell r="E54">
            <v>56</v>
          </cell>
          <cell r="F54">
            <v>23.504000000000001</v>
          </cell>
          <cell r="G54">
            <v>12113</v>
          </cell>
          <cell r="H54">
            <v>152414</v>
          </cell>
          <cell r="I54">
            <v>121889</v>
          </cell>
          <cell r="J54">
            <v>121889</v>
          </cell>
          <cell r="K54">
            <v>68000</v>
          </cell>
          <cell r="L54">
            <v>68000</v>
          </cell>
          <cell r="M54">
            <v>0</v>
          </cell>
          <cell r="N54">
            <v>68000</v>
          </cell>
          <cell r="O54">
            <v>68000</v>
          </cell>
          <cell r="P54">
            <v>68000</v>
          </cell>
          <cell r="Q54">
            <v>0</v>
          </cell>
        </row>
        <row r="55">
          <cell r="C55">
            <v>42</v>
          </cell>
          <cell r="D55" t="str">
            <v>F</v>
          </cell>
          <cell r="E55">
            <v>31</v>
          </cell>
          <cell r="F55">
            <v>8.0790000000000006</v>
          </cell>
          <cell r="G55">
            <v>7544</v>
          </cell>
          <cell r="H55">
            <v>16977</v>
          </cell>
          <cell r="I55">
            <v>4750</v>
          </cell>
          <cell r="J55">
            <v>4750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C56">
            <v>43</v>
          </cell>
          <cell r="D56" t="str">
            <v>F</v>
          </cell>
          <cell r="E56">
            <v>43</v>
          </cell>
          <cell r="F56">
            <v>7.1539999999999999</v>
          </cell>
          <cell r="G56">
            <v>12325</v>
          </cell>
          <cell r="H56">
            <v>21596</v>
          </cell>
          <cell r="I56">
            <v>7407</v>
          </cell>
          <cell r="J56">
            <v>7407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44</v>
          </cell>
          <cell r="D57" t="str">
            <v>M</v>
          </cell>
          <cell r="E57">
            <v>49</v>
          </cell>
          <cell r="F57">
            <v>14.087999999999999</v>
          </cell>
          <cell r="G57">
            <v>12803</v>
          </cell>
          <cell r="H57">
            <v>85059</v>
          </cell>
          <cell r="I57">
            <v>36370</v>
          </cell>
          <cell r="J57">
            <v>36370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1514</v>
          </cell>
        </row>
        <row r="58">
          <cell r="C58">
            <v>45</v>
          </cell>
          <cell r="D58" t="str">
            <v>F</v>
          </cell>
          <cell r="E58">
            <v>29</v>
          </cell>
          <cell r="F58">
            <v>8.0730000000000004</v>
          </cell>
          <cell r="G58">
            <v>6747</v>
          </cell>
          <cell r="H58">
            <v>26185</v>
          </cell>
          <cell r="I58">
            <v>7133</v>
          </cell>
          <cell r="J58">
            <v>7133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509</v>
          </cell>
        </row>
        <row r="59">
          <cell r="C59">
            <v>46</v>
          </cell>
          <cell r="D59" t="str">
            <v>F</v>
          </cell>
          <cell r="E59">
            <v>56</v>
          </cell>
          <cell r="F59">
            <v>27.838000000000001</v>
          </cell>
          <cell r="G59">
            <v>14450</v>
          </cell>
          <cell r="H59">
            <v>402266</v>
          </cell>
          <cell r="I59">
            <v>357803</v>
          </cell>
          <cell r="J59">
            <v>357803</v>
          </cell>
          <cell r="K59">
            <v>297500</v>
          </cell>
          <cell r="L59">
            <v>297500</v>
          </cell>
          <cell r="M59">
            <v>0</v>
          </cell>
          <cell r="N59">
            <v>297500</v>
          </cell>
          <cell r="O59">
            <v>297500</v>
          </cell>
          <cell r="P59">
            <v>297500</v>
          </cell>
          <cell r="Q59">
            <v>12707</v>
          </cell>
        </row>
        <row r="60">
          <cell r="C60">
            <v>47</v>
          </cell>
          <cell r="D60" t="str">
            <v>F</v>
          </cell>
          <cell r="E60">
            <v>57</v>
          </cell>
          <cell r="F60">
            <v>11.106999999999999</v>
          </cell>
          <cell r="G60">
            <v>9138</v>
          </cell>
          <cell r="H60">
            <v>53095</v>
          </cell>
          <cell r="I60">
            <v>38054</v>
          </cell>
          <cell r="J60">
            <v>38054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1813</v>
          </cell>
        </row>
        <row r="61">
          <cell r="C61">
            <v>48</v>
          </cell>
          <cell r="D61" t="str">
            <v>F</v>
          </cell>
          <cell r="E61">
            <v>51</v>
          </cell>
          <cell r="F61">
            <v>26.001000000000001</v>
          </cell>
          <cell r="G61">
            <v>14663</v>
          </cell>
          <cell r="H61">
            <v>271238</v>
          </cell>
          <cell r="I61">
            <v>184021</v>
          </cell>
          <cell r="J61">
            <v>184021</v>
          </cell>
          <cell r="K61">
            <v>102000</v>
          </cell>
          <cell r="L61">
            <v>102000</v>
          </cell>
          <cell r="M61">
            <v>0</v>
          </cell>
          <cell r="N61">
            <v>102000</v>
          </cell>
          <cell r="O61">
            <v>102000</v>
          </cell>
          <cell r="P61">
            <v>102000</v>
          </cell>
          <cell r="Q61">
            <v>2752</v>
          </cell>
        </row>
        <row r="62">
          <cell r="C62">
            <v>50</v>
          </cell>
          <cell r="D62" t="str">
            <v>M</v>
          </cell>
          <cell r="E62">
            <v>56</v>
          </cell>
          <cell r="F62">
            <v>6.9240000000000004</v>
          </cell>
          <cell r="G62">
            <v>24013</v>
          </cell>
          <cell r="H62">
            <v>42010</v>
          </cell>
          <cell r="I62">
            <v>26062</v>
          </cell>
          <cell r="J62">
            <v>26062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C63">
            <v>71</v>
          </cell>
          <cell r="D63" t="str">
            <v>M</v>
          </cell>
          <cell r="E63">
            <v>55</v>
          </cell>
          <cell r="F63">
            <v>7.5039999999999996</v>
          </cell>
          <cell r="G63">
            <v>24013</v>
          </cell>
          <cell r="H63">
            <v>89365</v>
          </cell>
          <cell r="I63">
            <v>51744</v>
          </cell>
          <cell r="J63">
            <v>51744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3846</v>
          </cell>
        </row>
        <row r="64">
          <cell r="C64">
            <v>72</v>
          </cell>
          <cell r="D64" t="str">
            <v>F</v>
          </cell>
          <cell r="E64">
            <v>52</v>
          </cell>
          <cell r="F64">
            <v>20.503</v>
          </cell>
          <cell r="G64">
            <v>34000</v>
          </cell>
          <cell r="H64">
            <v>697128</v>
          </cell>
          <cell r="I64">
            <v>552541</v>
          </cell>
          <cell r="J64">
            <v>552541</v>
          </cell>
          <cell r="K64">
            <v>425000</v>
          </cell>
          <cell r="L64">
            <v>425000</v>
          </cell>
          <cell r="M64">
            <v>0</v>
          </cell>
          <cell r="N64">
            <v>425000</v>
          </cell>
          <cell r="O64">
            <v>425000</v>
          </cell>
          <cell r="P64">
            <v>425000</v>
          </cell>
          <cell r="Q64">
            <v>26622</v>
          </cell>
        </row>
        <row r="65">
          <cell r="C65">
            <v>73</v>
          </cell>
          <cell r="D65" t="str">
            <v>F</v>
          </cell>
          <cell r="E65">
            <v>52</v>
          </cell>
          <cell r="F65">
            <v>23.794</v>
          </cell>
          <cell r="G65">
            <v>13600</v>
          </cell>
          <cell r="H65">
            <v>173924</v>
          </cell>
          <cell r="I65">
            <v>135991</v>
          </cell>
          <cell r="J65">
            <v>135991</v>
          </cell>
          <cell r="K65">
            <v>102000</v>
          </cell>
          <cell r="L65">
            <v>102000</v>
          </cell>
          <cell r="M65">
            <v>0</v>
          </cell>
          <cell r="N65">
            <v>102000</v>
          </cell>
          <cell r="O65">
            <v>102000</v>
          </cell>
          <cell r="P65">
            <v>102000</v>
          </cell>
          <cell r="Q65">
            <v>0</v>
          </cell>
        </row>
        <row r="66">
          <cell r="C66">
            <v>74</v>
          </cell>
          <cell r="D66" t="str">
            <v>F</v>
          </cell>
          <cell r="E66">
            <v>52</v>
          </cell>
          <cell r="F66">
            <v>19.567</v>
          </cell>
          <cell r="G66">
            <v>16269</v>
          </cell>
          <cell r="H66">
            <v>318342</v>
          </cell>
          <cell r="I66">
            <v>260195</v>
          </cell>
          <cell r="J66">
            <v>260195</v>
          </cell>
          <cell r="K66">
            <v>212500</v>
          </cell>
          <cell r="L66">
            <v>212500</v>
          </cell>
          <cell r="M66">
            <v>0</v>
          </cell>
          <cell r="N66">
            <v>212500</v>
          </cell>
          <cell r="O66">
            <v>212500</v>
          </cell>
          <cell r="P66">
            <v>212500</v>
          </cell>
          <cell r="Q66">
            <v>13137</v>
          </cell>
        </row>
        <row r="67">
          <cell r="C67">
            <v>75</v>
          </cell>
          <cell r="D67" t="str">
            <v>F</v>
          </cell>
          <cell r="E67">
            <v>52</v>
          </cell>
          <cell r="F67">
            <v>18.466000000000001</v>
          </cell>
          <cell r="G67">
            <v>15109</v>
          </cell>
          <cell r="H67">
            <v>279010</v>
          </cell>
          <cell r="I67">
            <v>222206</v>
          </cell>
          <cell r="J67">
            <v>222206</v>
          </cell>
          <cell r="K67">
            <v>170000</v>
          </cell>
          <cell r="L67">
            <v>170000</v>
          </cell>
          <cell r="M67">
            <v>0</v>
          </cell>
          <cell r="N67">
            <v>170000</v>
          </cell>
          <cell r="O67">
            <v>170000</v>
          </cell>
          <cell r="P67">
            <v>170000</v>
          </cell>
          <cell r="Q67">
            <v>11887</v>
          </cell>
        </row>
        <row r="68">
          <cell r="C68">
            <v>76</v>
          </cell>
          <cell r="D68" t="str">
            <v>M</v>
          </cell>
          <cell r="E68">
            <v>50</v>
          </cell>
          <cell r="F68">
            <v>17.734999999999999</v>
          </cell>
          <cell r="G68">
            <v>18360</v>
          </cell>
          <cell r="H68">
            <v>325629</v>
          </cell>
          <cell r="I68">
            <v>241134</v>
          </cell>
          <cell r="J68">
            <v>241134</v>
          </cell>
          <cell r="K68">
            <v>187000</v>
          </cell>
          <cell r="L68">
            <v>187000</v>
          </cell>
          <cell r="M68">
            <v>0</v>
          </cell>
          <cell r="N68">
            <v>187000</v>
          </cell>
          <cell r="O68">
            <v>187000</v>
          </cell>
          <cell r="P68">
            <v>187000</v>
          </cell>
          <cell r="Q68">
            <v>13427</v>
          </cell>
        </row>
        <row r="69">
          <cell r="C69">
            <v>77</v>
          </cell>
          <cell r="D69" t="str">
            <v>F</v>
          </cell>
          <cell r="E69">
            <v>51</v>
          </cell>
          <cell r="F69">
            <v>6.8410000000000002</v>
          </cell>
          <cell r="G69">
            <v>14535</v>
          </cell>
          <cell r="H69">
            <v>25508</v>
          </cell>
          <cell r="I69">
            <v>12898</v>
          </cell>
          <cell r="J69">
            <v>12898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>
            <v>79</v>
          </cell>
          <cell r="D70" t="str">
            <v>F</v>
          </cell>
          <cell r="E70">
            <v>54</v>
          </cell>
          <cell r="F70">
            <v>7.4660000000000002</v>
          </cell>
          <cell r="G70">
            <v>11475</v>
          </cell>
          <cell r="H70">
            <v>42583</v>
          </cell>
          <cell r="I70">
            <v>25030</v>
          </cell>
          <cell r="J70">
            <v>25030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1866</v>
          </cell>
        </row>
        <row r="71">
          <cell r="C71">
            <v>80</v>
          </cell>
          <cell r="D71" t="str">
            <v>F</v>
          </cell>
          <cell r="E71">
            <v>53</v>
          </cell>
          <cell r="F71">
            <v>6.8410000000000002</v>
          </cell>
          <cell r="G71">
            <v>21675</v>
          </cell>
          <cell r="H71">
            <v>37979</v>
          </cell>
          <cell r="I71">
            <v>21141</v>
          </cell>
          <cell r="J71">
            <v>21141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C72">
            <v>81</v>
          </cell>
          <cell r="D72" t="str">
            <v>F</v>
          </cell>
          <cell r="E72">
            <v>50</v>
          </cell>
          <cell r="F72">
            <v>20.202000000000002</v>
          </cell>
          <cell r="G72">
            <v>14141</v>
          </cell>
          <cell r="H72">
            <v>219478</v>
          </cell>
          <cell r="I72">
            <v>297500</v>
          </cell>
          <cell r="J72">
            <v>297500</v>
          </cell>
          <cell r="K72">
            <v>297500</v>
          </cell>
          <cell r="L72">
            <v>297500</v>
          </cell>
          <cell r="M72">
            <v>0</v>
          </cell>
          <cell r="N72">
            <v>297500</v>
          </cell>
          <cell r="O72">
            <v>297500</v>
          </cell>
          <cell r="P72">
            <v>297500</v>
          </cell>
          <cell r="Q72">
            <v>5302</v>
          </cell>
        </row>
        <row r="73">
          <cell r="C73">
            <v>82</v>
          </cell>
          <cell r="D73" t="str">
            <v>F</v>
          </cell>
          <cell r="E73">
            <v>50</v>
          </cell>
          <cell r="F73">
            <v>7.1210000000000004</v>
          </cell>
          <cell r="G73">
            <v>20825</v>
          </cell>
          <cell r="H73">
            <v>36490</v>
          </cell>
          <cell r="I73">
            <v>17461</v>
          </cell>
          <cell r="J73">
            <v>17461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C74">
            <v>84</v>
          </cell>
          <cell r="D74" t="str">
            <v>M</v>
          </cell>
          <cell r="E74">
            <v>49</v>
          </cell>
          <cell r="F74">
            <v>6.9240000000000004</v>
          </cell>
          <cell r="G74">
            <v>19975</v>
          </cell>
          <cell r="H74">
            <v>34946</v>
          </cell>
          <cell r="I74">
            <v>15019</v>
          </cell>
          <cell r="J74">
            <v>15019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85</v>
          </cell>
          <cell r="D75" t="str">
            <v>F</v>
          </cell>
          <cell r="E75">
            <v>48</v>
          </cell>
          <cell r="F75">
            <v>16.547000000000001</v>
          </cell>
          <cell r="G75">
            <v>8075</v>
          </cell>
          <cell r="H75">
            <v>60447</v>
          </cell>
          <cell r="I75">
            <v>33791</v>
          </cell>
          <cell r="J75">
            <v>33791</v>
          </cell>
          <cell r="K75">
            <v>15000</v>
          </cell>
          <cell r="L75">
            <v>15000</v>
          </cell>
          <cell r="M75">
            <v>0</v>
          </cell>
          <cell r="N75">
            <v>15000</v>
          </cell>
          <cell r="O75">
            <v>15000</v>
          </cell>
          <cell r="P75">
            <v>15000</v>
          </cell>
          <cell r="Q75">
            <v>1249</v>
          </cell>
        </row>
        <row r="76">
          <cell r="C76">
            <v>86</v>
          </cell>
          <cell r="D76" t="str">
            <v>F</v>
          </cell>
          <cell r="E76">
            <v>47</v>
          </cell>
          <cell r="F76">
            <v>14.731999999999999</v>
          </cell>
          <cell r="G76">
            <v>15657</v>
          </cell>
          <cell r="H76">
            <v>58770</v>
          </cell>
          <cell r="I76">
            <v>23595</v>
          </cell>
          <cell r="J76">
            <v>23595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C77">
            <v>87</v>
          </cell>
          <cell r="D77" t="str">
            <v>M</v>
          </cell>
          <cell r="E77">
            <v>47</v>
          </cell>
          <cell r="F77">
            <v>13.815</v>
          </cell>
          <cell r="G77">
            <v>21888</v>
          </cell>
          <cell r="H77">
            <v>110112</v>
          </cell>
          <cell r="I77">
            <v>42745</v>
          </cell>
          <cell r="J77">
            <v>42745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4196</v>
          </cell>
        </row>
        <row r="78">
          <cell r="C78">
            <v>88</v>
          </cell>
          <cell r="D78" t="str">
            <v>F</v>
          </cell>
          <cell r="E78">
            <v>46</v>
          </cell>
          <cell r="F78">
            <v>7.2140000000000004</v>
          </cell>
          <cell r="G78">
            <v>18700</v>
          </cell>
          <cell r="H78">
            <v>83810</v>
          </cell>
          <cell r="I78">
            <v>32280</v>
          </cell>
          <cell r="J78">
            <v>32280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3558</v>
          </cell>
        </row>
        <row r="79">
          <cell r="C79">
            <v>90</v>
          </cell>
          <cell r="D79" t="str">
            <v>F</v>
          </cell>
          <cell r="E79">
            <v>40</v>
          </cell>
          <cell r="F79">
            <v>12.629</v>
          </cell>
          <cell r="G79">
            <v>19125</v>
          </cell>
          <cell r="H79">
            <v>86868</v>
          </cell>
          <cell r="I79">
            <v>53764</v>
          </cell>
          <cell r="J79">
            <v>53764</v>
          </cell>
          <cell r="K79">
            <v>40000</v>
          </cell>
          <cell r="L79">
            <v>40000</v>
          </cell>
          <cell r="M79">
            <v>0</v>
          </cell>
          <cell r="N79">
            <v>40000</v>
          </cell>
          <cell r="O79">
            <v>40000</v>
          </cell>
          <cell r="P79">
            <v>40000</v>
          </cell>
          <cell r="Q79">
            <v>0</v>
          </cell>
        </row>
        <row r="80">
          <cell r="C80">
            <v>91</v>
          </cell>
          <cell r="D80" t="str">
            <v>F</v>
          </cell>
          <cell r="E80">
            <v>40</v>
          </cell>
          <cell r="F80">
            <v>14.127000000000001</v>
          </cell>
          <cell r="G80">
            <v>9265</v>
          </cell>
          <cell r="H80">
            <v>130890</v>
          </cell>
          <cell r="I80">
            <v>80481</v>
          </cell>
          <cell r="J80">
            <v>80481</v>
          </cell>
          <cell r="K80">
            <v>59500</v>
          </cell>
          <cell r="L80">
            <v>59500</v>
          </cell>
          <cell r="M80">
            <v>0</v>
          </cell>
          <cell r="N80">
            <v>59500</v>
          </cell>
          <cell r="O80">
            <v>59500</v>
          </cell>
          <cell r="P80">
            <v>59500</v>
          </cell>
          <cell r="Q80">
            <v>5628</v>
          </cell>
        </row>
        <row r="81">
          <cell r="C81">
            <v>92</v>
          </cell>
          <cell r="D81" t="str">
            <v>M</v>
          </cell>
          <cell r="E81">
            <v>50</v>
          </cell>
          <cell r="F81">
            <v>7.1970000000000001</v>
          </cell>
          <cell r="G81">
            <v>8787</v>
          </cell>
          <cell r="H81">
            <v>15397</v>
          </cell>
          <cell r="I81">
            <v>7022</v>
          </cell>
          <cell r="J81">
            <v>7022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C82">
            <v>93</v>
          </cell>
          <cell r="D82" t="str">
            <v>F</v>
          </cell>
          <cell r="E82">
            <v>49</v>
          </cell>
          <cell r="F82">
            <v>8.673</v>
          </cell>
          <cell r="G82">
            <v>7357</v>
          </cell>
          <cell r="H82">
            <v>16557</v>
          </cell>
          <cell r="I82">
            <v>7426</v>
          </cell>
          <cell r="J82">
            <v>7426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C83">
            <v>94</v>
          </cell>
          <cell r="D83" t="str">
            <v>F</v>
          </cell>
          <cell r="E83">
            <v>49</v>
          </cell>
          <cell r="F83">
            <v>18.167999999999999</v>
          </cell>
          <cell r="G83">
            <v>10200</v>
          </cell>
          <cell r="H83">
            <v>185317</v>
          </cell>
          <cell r="I83">
            <v>172829</v>
          </cell>
          <cell r="J83">
            <v>172829</v>
          </cell>
          <cell r="K83">
            <v>170000</v>
          </cell>
          <cell r="L83">
            <v>170000</v>
          </cell>
          <cell r="M83">
            <v>0</v>
          </cell>
          <cell r="N83">
            <v>170000</v>
          </cell>
          <cell r="O83">
            <v>170000</v>
          </cell>
          <cell r="P83">
            <v>170000</v>
          </cell>
          <cell r="Q83">
            <v>9398</v>
          </cell>
        </row>
        <row r="84">
          <cell r="C84">
            <v>95</v>
          </cell>
          <cell r="D84" t="str">
            <v>F</v>
          </cell>
          <cell r="E84">
            <v>42</v>
          </cell>
          <cell r="F84">
            <v>6.9130000000000003</v>
          </cell>
          <cell r="G84">
            <v>11900</v>
          </cell>
          <cell r="H84">
            <v>20819</v>
          </cell>
          <cell r="I84">
            <v>6950</v>
          </cell>
          <cell r="J84">
            <v>6950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C85">
            <v>96</v>
          </cell>
          <cell r="D85" t="str">
            <v>M</v>
          </cell>
          <cell r="E85">
            <v>41</v>
          </cell>
          <cell r="F85">
            <v>8.09</v>
          </cell>
          <cell r="G85">
            <v>16575</v>
          </cell>
          <cell r="H85">
            <v>48420</v>
          </cell>
          <cell r="I85">
            <v>15439</v>
          </cell>
          <cell r="J85">
            <v>15439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2611</v>
          </cell>
        </row>
        <row r="86">
          <cell r="C86">
            <v>97</v>
          </cell>
          <cell r="D86" t="str">
            <v>M</v>
          </cell>
          <cell r="E86">
            <v>41</v>
          </cell>
          <cell r="F86">
            <v>8.1940000000000008</v>
          </cell>
          <cell r="G86">
            <v>12580</v>
          </cell>
          <cell r="H86">
            <v>65698</v>
          </cell>
          <cell r="I86">
            <v>20961</v>
          </cell>
          <cell r="J86">
            <v>20961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1983</v>
          </cell>
        </row>
        <row r="87">
          <cell r="C87">
            <v>98</v>
          </cell>
          <cell r="D87" t="str">
            <v>F</v>
          </cell>
          <cell r="E87">
            <v>43</v>
          </cell>
          <cell r="F87">
            <v>17.696999999999999</v>
          </cell>
          <cell r="G87">
            <v>17153</v>
          </cell>
          <cell r="H87">
            <v>303565</v>
          </cell>
          <cell r="I87">
            <v>141305</v>
          </cell>
          <cell r="J87">
            <v>141305</v>
          </cell>
          <cell r="K87">
            <v>59500</v>
          </cell>
          <cell r="L87">
            <v>59500</v>
          </cell>
          <cell r="M87">
            <v>0</v>
          </cell>
          <cell r="N87">
            <v>59500</v>
          </cell>
          <cell r="O87">
            <v>59500</v>
          </cell>
          <cell r="P87">
            <v>59500</v>
          </cell>
          <cell r="Q87">
            <v>7888</v>
          </cell>
        </row>
        <row r="88">
          <cell r="C88">
            <v>99</v>
          </cell>
          <cell r="D88" t="str">
            <v>F</v>
          </cell>
          <cell r="E88">
            <v>62</v>
          </cell>
          <cell r="F88">
            <v>19.044</v>
          </cell>
          <cell r="G88">
            <v>20889</v>
          </cell>
          <cell r="H88">
            <v>397816</v>
          </cell>
          <cell r="I88">
            <v>389649</v>
          </cell>
          <cell r="J88">
            <v>389649</v>
          </cell>
          <cell r="K88">
            <v>255000</v>
          </cell>
          <cell r="L88">
            <v>255000</v>
          </cell>
          <cell r="M88">
            <v>0</v>
          </cell>
          <cell r="N88">
            <v>255000</v>
          </cell>
          <cell r="O88">
            <v>255000</v>
          </cell>
          <cell r="P88">
            <v>255000</v>
          </cell>
          <cell r="Q88">
            <v>20260</v>
          </cell>
        </row>
        <row r="89">
          <cell r="C89">
            <v>100</v>
          </cell>
          <cell r="D89" t="str">
            <v>M</v>
          </cell>
          <cell r="E89">
            <v>62</v>
          </cell>
          <cell r="F89">
            <v>7.7229999999999999</v>
          </cell>
          <cell r="G89">
            <v>34000</v>
          </cell>
          <cell r="H89">
            <v>76611</v>
          </cell>
          <cell r="I89">
            <v>65804</v>
          </cell>
          <cell r="J89">
            <v>65804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C90">
            <v>101</v>
          </cell>
          <cell r="D90" t="str">
            <v>F</v>
          </cell>
          <cell r="E90">
            <v>43</v>
          </cell>
          <cell r="F90">
            <v>17.489000000000001</v>
          </cell>
          <cell r="G90">
            <v>23481</v>
          </cell>
          <cell r="H90">
            <v>160013</v>
          </cell>
          <cell r="I90">
            <v>151829</v>
          </cell>
          <cell r="J90">
            <v>151829</v>
          </cell>
          <cell r="K90">
            <v>150000</v>
          </cell>
          <cell r="L90">
            <v>150000</v>
          </cell>
          <cell r="M90">
            <v>0</v>
          </cell>
          <cell r="N90">
            <v>150000</v>
          </cell>
          <cell r="O90">
            <v>150000</v>
          </cell>
          <cell r="P90">
            <v>150000</v>
          </cell>
          <cell r="Q90">
            <v>0</v>
          </cell>
        </row>
        <row r="91">
          <cell r="C91">
            <v>102</v>
          </cell>
          <cell r="D91" t="str">
            <v>M</v>
          </cell>
          <cell r="E91">
            <v>38</v>
          </cell>
          <cell r="F91">
            <v>7.5810000000000004</v>
          </cell>
          <cell r="G91">
            <v>15725</v>
          </cell>
          <cell r="H91">
            <v>77301</v>
          </cell>
          <cell r="I91">
            <v>23104</v>
          </cell>
          <cell r="J91">
            <v>23104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2322</v>
          </cell>
        </row>
        <row r="92">
          <cell r="C92">
            <v>103</v>
          </cell>
          <cell r="D92" t="str">
            <v>M</v>
          </cell>
          <cell r="E92">
            <v>37</v>
          </cell>
          <cell r="F92">
            <v>7.5419999999999998</v>
          </cell>
          <cell r="G92">
            <v>20134</v>
          </cell>
          <cell r="H92">
            <v>98591</v>
          </cell>
          <cell r="I92">
            <v>28960</v>
          </cell>
          <cell r="J92">
            <v>28960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2922</v>
          </cell>
        </row>
        <row r="93">
          <cell r="C93">
            <v>104</v>
          </cell>
          <cell r="D93" t="str">
            <v>M</v>
          </cell>
          <cell r="E93">
            <v>36</v>
          </cell>
          <cell r="F93">
            <v>7.3369999999999997</v>
          </cell>
          <cell r="G93">
            <v>9775</v>
          </cell>
          <cell r="H93">
            <v>21972</v>
          </cell>
          <cell r="I93">
            <v>6366</v>
          </cell>
          <cell r="J93">
            <v>6366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C94">
            <v>105</v>
          </cell>
          <cell r="D94" t="str">
            <v>M</v>
          </cell>
          <cell r="E94">
            <v>36</v>
          </cell>
          <cell r="F94">
            <v>7.9859999999999998</v>
          </cell>
          <cell r="G94">
            <v>11767</v>
          </cell>
          <cell r="H94">
            <v>26450</v>
          </cell>
          <cell r="I94">
            <v>7659</v>
          </cell>
          <cell r="J94">
            <v>7659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106</v>
          </cell>
          <cell r="D95" t="str">
            <v>F</v>
          </cell>
          <cell r="E95">
            <v>36</v>
          </cell>
          <cell r="F95">
            <v>7.915</v>
          </cell>
          <cell r="G95">
            <v>16575</v>
          </cell>
          <cell r="H95">
            <v>84225</v>
          </cell>
          <cell r="I95">
            <v>24619</v>
          </cell>
          <cell r="J95">
            <v>24619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2394</v>
          </cell>
        </row>
        <row r="96">
          <cell r="C96">
            <v>107</v>
          </cell>
          <cell r="D96" t="str">
            <v>M</v>
          </cell>
          <cell r="E96">
            <v>34</v>
          </cell>
          <cell r="F96">
            <v>8.2129999999999992</v>
          </cell>
          <cell r="G96">
            <v>18700</v>
          </cell>
          <cell r="H96">
            <v>97839</v>
          </cell>
          <cell r="I96">
            <v>27771</v>
          </cell>
          <cell r="J96">
            <v>27771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2623</v>
          </cell>
        </row>
        <row r="97">
          <cell r="C97">
            <v>108</v>
          </cell>
          <cell r="D97" t="str">
            <v>F</v>
          </cell>
          <cell r="E97">
            <v>56</v>
          </cell>
          <cell r="F97">
            <v>13.923999999999999</v>
          </cell>
          <cell r="G97">
            <v>20825</v>
          </cell>
          <cell r="H97">
            <v>184019</v>
          </cell>
          <cell r="I97">
            <v>122080</v>
          </cell>
          <cell r="J97">
            <v>122080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6830</v>
          </cell>
        </row>
        <row r="98">
          <cell r="C98">
            <v>109</v>
          </cell>
          <cell r="D98" t="str">
            <v>M</v>
          </cell>
          <cell r="E98">
            <v>47</v>
          </cell>
          <cell r="F98">
            <v>7.5229999999999997</v>
          </cell>
          <cell r="G98">
            <v>18541</v>
          </cell>
          <cell r="H98">
            <v>90609</v>
          </cell>
          <cell r="I98">
            <v>35032</v>
          </cell>
          <cell r="J98">
            <v>35032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3540</v>
          </cell>
        </row>
        <row r="99">
          <cell r="C99">
            <v>110</v>
          </cell>
          <cell r="D99" t="str">
            <v>F</v>
          </cell>
          <cell r="E99">
            <v>55</v>
          </cell>
          <cell r="F99">
            <v>7.7939999999999996</v>
          </cell>
          <cell r="G99">
            <v>23375</v>
          </cell>
          <cell r="H99">
            <v>117435</v>
          </cell>
          <cell r="I99">
            <v>74068</v>
          </cell>
          <cell r="J99">
            <v>74068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7285</v>
          </cell>
        </row>
        <row r="100">
          <cell r="C100">
            <v>111</v>
          </cell>
          <cell r="D100" t="str">
            <v>F</v>
          </cell>
          <cell r="E100">
            <v>60</v>
          </cell>
          <cell r="F100">
            <v>21.253</v>
          </cell>
          <cell r="G100">
            <v>21250</v>
          </cell>
          <cell r="H100">
            <v>451646</v>
          </cell>
          <cell r="I100">
            <v>436669</v>
          </cell>
          <cell r="J100">
            <v>436669</v>
          </cell>
          <cell r="K100">
            <v>340000</v>
          </cell>
          <cell r="L100">
            <v>340000</v>
          </cell>
          <cell r="M100">
            <v>0</v>
          </cell>
          <cell r="N100">
            <v>340000</v>
          </cell>
          <cell r="O100">
            <v>340000</v>
          </cell>
          <cell r="P100">
            <v>340000</v>
          </cell>
          <cell r="Q100">
            <v>20332</v>
          </cell>
        </row>
        <row r="101">
          <cell r="C101">
            <v>112</v>
          </cell>
          <cell r="D101" t="str">
            <v>M</v>
          </cell>
          <cell r="E101">
            <v>51</v>
          </cell>
          <cell r="F101">
            <v>18.811</v>
          </cell>
          <cell r="G101">
            <v>18510</v>
          </cell>
          <cell r="H101">
            <v>348202</v>
          </cell>
          <cell r="I101">
            <v>276107</v>
          </cell>
          <cell r="J101">
            <v>276107</v>
          </cell>
          <cell r="K101">
            <v>229500</v>
          </cell>
          <cell r="L101">
            <v>229500</v>
          </cell>
          <cell r="M101">
            <v>0</v>
          </cell>
          <cell r="N101">
            <v>229500</v>
          </cell>
          <cell r="O101">
            <v>229500</v>
          </cell>
          <cell r="P101">
            <v>229500</v>
          </cell>
          <cell r="Q101">
            <v>14495</v>
          </cell>
        </row>
        <row r="102">
          <cell r="C102">
            <v>113</v>
          </cell>
          <cell r="D102" t="str">
            <v>M</v>
          </cell>
          <cell r="E102">
            <v>36</v>
          </cell>
          <cell r="F102">
            <v>8.0519999999999996</v>
          </cell>
          <cell r="G102">
            <v>18275</v>
          </cell>
          <cell r="H102">
            <v>94139</v>
          </cell>
          <cell r="I102">
            <v>27276</v>
          </cell>
          <cell r="J102">
            <v>27276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2617</v>
          </cell>
        </row>
        <row r="103">
          <cell r="C103">
            <v>115</v>
          </cell>
          <cell r="D103" t="str">
            <v>F</v>
          </cell>
          <cell r="E103">
            <v>54</v>
          </cell>
          <cell r="F103">
            <v>20.725000000000001</v>
          </cell>
          <cell r="G103">
            <v>12856</v>
          </cell>
          <cell r="H103">
            <v>266453</v>
          </cell>
          <cell r="I103">
            <v>200066</v>
          </cell>
          <cell r="J103">
            <v>200066</v>
          </cell>
          <cell r="K103">
            <v>110500</v>
          </cell>
          <cell r="L103">
            <v>110500</v>
          </cell>
          <cell r="M103">
            <v>0</v>
          </cell>
          <cell r="N103">
            <v>110500</v>
          </cell>
          <cell r="O103">
            <v>110500</v>
          </cell>
          <cell r="P103">
            <v>110500</v>
          </cell>
          <cell r="Q103">
            <v>9540</v>
          </cell>
        </row>
        <row r="104">
          <cell r="C104">
            <v>116</v>
          </cell>
          <cell r="D104" t="str">
            <v>F</v>
          </cell>
          <cell r="E104">
            <v>51</v>
          </cell>
          <cell r="F104">
            <v>8.673</v>
          </cell>
          <cell r="G104">
            <v>22100</v>
          </cell>
          <cell r="H104">
            <v>49736</v>
          </cell>
          <cell r="I104">
            <v>24925</v>
          </cell>
          <cell r="J104">
            <v>24925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C105">
            <v>117</v>
          </cell>
          <cell r="D105" t="str">
            <v>F</v>
          </cell>
          <cell r="E105">
            <v>61</v>
          </cell>
          <cell r="F105">
            <v>19.986000000000001</v>
          </cell>
          <cell r="G105">
            <v>17956</v>
          </cell>
          <cell r="H105">
            <v>358879</v>
          </cell>
          <cell r="I105">
            <v>339578</v>
          </cell>
          <cell r="J105">
            <v>339578</v>
          </cell>
          <cell r="K105">
            <v>140595</v>
          </cell>
          <cell r="L105">
            <v>140595</v>
          </cell>
          <cell r="M105">
            <v>0</v>
          </cell>
          <cell r="N105">
            <v>140595</v>
          </cell>
          <cell r="O105">
            <v>140595</v>
          </cell>
          <cell r="P105">
            <v>140595</v>
          </cell>
          <cell r="Q105">
            <v>16814</v>
          </cell>
        </row>
        <row r="106">
          <cell r="C106">
            <v>118</v>
          </cell>
          <cell r="D106" t="str">
            <v>F</v>
          </cell>
          <cell r="E106">
            <v>61</v>
          </cell>
          <cell r="F106">
            <v>17.321999999999999</v>
          </cell>
          <cell r="G106">
            <v>12155</v>
          </cell>
          <cell r="H106">
            <v>210554</v>
          </cell>
          <cell r="I106">
            <v>200070</v>
          </cell>
          <cell r="J106">
            <v>200070</v>
          </cell>
          <cell r="K106">
            <v>133392</v>
          </cell>
          <cell r="L106">
            <v>133392</v>
          </cell>
          <cell r="M106">
            <v>0</v>
          </cell>
          <cell r="N106">
            <v>133392</v>
          </cell>
          <cell r="O106">
            <v>133392</v>
          </cell>
          <cell r="P106">
            <v>133392</v>
          </cell>
          <cell r="Q106">
            <v>11437</v>
          </cell>
        </row>
        <row r="107">
          <cell r="C107">
            <v>119</v>
          </cell>
          <cell r="D107" t="str">
            <v>M</v>
          </cell>
          <cell r="E107">
            <v>62</v>
          </cell>
          <cell r="F107">
            <v>19.137</v>
          </cell>
          <cell r="G107">
            <v>16044</v>
          </cell>
          <cell r="H107">
            <v>307039</v>
          </cell>
          <cell r="I107">
            <v>269870</v>
          </cell>
          <cell r="J107">
            <v>269870</v>
          </cell>
          <cell r="K107">
            <v>47251</v>
          </cell>
          <cell r="L107">
            <v>47251</v>
          </cell>
          <cell r="M107">
            <v>0</v>
          </cell>
          <cell r="N107">
            <v>47251</v>
          </cell>
          <cell r="O107">
            <v>47251</v>
          </cell>
          <cell r="P107">
            <v>47251</v>
          </cell>
          <cell r="Q107">
            <v>13948</v>
          </cell>
        </row>
        <row r="108">
          <cell r="C108">
            <v>120</v>
          </cell>
          <cell r="D108" t="str">
            <v>M</v>
          </cell>
          <cell r="E108">
            <v>50</v>
          </cell>
          <cell r="F108">
            <v>15.477</v>
          </cell>
          <cell r="G108">
            <v>16575</v>
          </cell>
          <cell r="H108">
            <v>62170</v>
          </cell>
          <cell r="I108">
            <v>28350</v>
          </cell>
          <cell r="J108">
            <v>28350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>
            <v>121</v>
          </cell>
          <cell r="D109" t="str">
            <v>M</v>
          </cell>
          <cell r="E109">
            <v>55</v>
          </cell>
          <cell r="F109">
            <v>7.0910000000000002</v>
          </cell>
          <cell r="G109">
            <v>21888</v>
          </cell>
          <cell r="H109">
            <v>96749</v>
          </cell>
          <cell r="I109">
            <v>56082</v>
          </cell>
          <cell r="J109">
            <v>56082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6267</v>
          </cell>
        </row>
        <row r="110">
          <cell r="C110">
            <v>122</v>
          </cell>
          <cell r="D110" t="str">
            <v>M</v>
          </cell>
          <cell r="E110">
            <v>61</v>
          </cell>
          <cell r="F110">
            <v>21.253</v>
          </cell>
          <cell r="G110">
            <v>20825</v>
          </cell>
          <cell r="H110">
            <v>442613</v>
          </cell>
          <cell r="I110">
            <v>410957</v>
          </cell>
          <cell r="J110">
            <v>410957</v>
          </cell>
          <cell r="K110">
            <v>278585</v>
          </cell>
          <cell r="L110">
            <v>278585</v>
          </cell>
          <cell r="M110">
            <v>0</v>
          </cell>
          <cell r="N110">
            <v>278585</v>
          </cell>
          <cell r="O110">
            <v>278585</v>
          </cell>
          <cell r="P110">
            <v>278585</v>
          </cell>
          <cell r="Q110">
            <v>19117</v>
          </cell>
        </row>
        <row r="111">
          <cell r="C111">
            <v>123</v>
          </cell>
          <cell r="D111" t="str">
            <v>M</v>
          </cell>
          <cell r="E111">
            <v>35</v>
          </cell>
          <cell r="F111">
            <v>7.1619999999999999</v>
          </cell>
          <cell r="G111">
            <v>6375</v>
          </cell>
          <cell r="H111">
            <v>11153</v>
          </cell>
          <cell r="I111">
            <v>3194</v>
          </cell>
          <cell r="J111">
            <v>3194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C112">
            <v>124</v>
          </cell>
          <cell r="D112" t="str">
            <v>M</v>
          </cell>
          <cell r="E112">
            <v>40</v>
          </cell>
          <cell r="F112">
            <v>11.759</v>
          </cell>
          <cell r="G112">
            <v>4250</v>
          </cell>
          <cell r="H112">
            <v>15953</v>
          </cell>
          <cell r="I112">
            <v>4994</v>
          </cell>
          <cell r="J112">
            <v>4994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>
            <v>125</v>
          </cell>
          <cell r="D113" t="str">
            <v>F</v>
          </cell>
          <cell r="E113">
            <v>46</v>
          </cell>
          <cell r="F113">
            <v>11.419</v>
          </cell>
          <cell r="G113">
            <v>4250</v>
          </cell>
          <cell r="H113">
            <v>15941</v>
          </cell>
          <cell r="I113">
            <v>6132</v>
          </cell>
          <cell r="J113">
            <v>6132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>
            <v>126</v>
          </cell>
          <cell r="D114" t="str">
            <v>F</v>
          </cell>
          <cell r="E114">
            <v>59</v>
          </cell>
          <cell r="F114">
            <v>9.5980000000000008</v>
          </cell>
          <cell r="G114">
            <v>5206</v>
          </cell>
          <cell r="H114">
            <v>49974</v>
          </cell>
          <cell r="I114">
            <v>42813</v>
          </cell>
          <cell r="J114">
            <v>42813</v>
          </cell>
          <cell r="K114">
            <v>14131</v>
          </cell>
          <cell r="L114">
            <v>14131</v>
          </cell>
          <cell r="M114">
            <v>0</v>
          </cell>
          <cell r="N114">
            <v>14131</v>
          </cell>
          <cell r="O114">
            <v>14131</v>
          </cell>
          <cell r="P114">
            <v>14131</v>
          </cell>
          <cell r="Q114">
            <v>4412</v>
          </cell>
        </row>
        <row r="115">
          <cell r="C115">
            <v>129</v>
          </cell>
          <cell r="D115" t="str">
            <v>M</v>
          </cell>
          <cell r="E115">
            <v>59</v>
          </cell>
          <cell r="F115">
            <v>10.039</v>
          </cell>
          <cell r="G115">
            <v>5950</v>
          </cell>
          <cell r="H115">
            <v>59736</v>
          </cell>
          <cell r="I115">
            <v>48598</v>
          </cell>
          <cell r="J115">
            <v>48598</v>
          </cell>
          <cell r="K115">
            <v>16545</v>
          </cell>
          <cell r="L115">
            <v>16545</v>
          </cell>
          <cell r="M115">
            <v>0</v>
          </cell>
          <cell r="N115">
            <v>16545</v>
          </cell>
          <cell r="O115">
            <v>16545</v>
          </cell>
          <cell r="P115">
            <v>16545</v>
          </cell>
          <cell r="Q115">
            <v>4784</v>
          </cell>
        </row>
        <row r="116">
          <cell r="C116">
            <v>130</v>
          </cell>
          <cell r="D116" t="str">
            <v>F</v>
          </cell>
          <cell r="E116">
            <v>50</v>
          </cell>
          <cell r="F116">
            <v>10.42</v>
          </cell>
          <cell r="G116">
            <v>6216</v>
          </cell>
          <cell r="H116">
            <v>64768</v>
          </cell>
          <cell r="I116">
            <v>39352</v>
          </cell>
          <cell r="J116">
            <v>39352</v>
          </cell>
          <cell r="K116">
            <v>16935</v>
          </cell>
          <cell r="L116">
            <v>16935</v>
          </cell>
          <cell r="M116">
            <v>0</v>
          </cell>
          <cell r="N116">
            <v>16935</v>
          </cell>
          <cell r="O116">
            <v>16935</v>
          </cell>
          <cell r="P116">
            <v>16935</v>
          </cell>
          <cell r="Q116">
            <v>3730</v>
          </cell>
        </row>
        <row r="117">
          <cell r="C117">
            <v>131</v>
          </cell>
          <cell r="D117" t="str">
            <v>F</v>
          </cell>
          <cell r="E117">
            <v>44</v>
          </cell>
          <cell r="F117">
            <v>10.42</v>
          </cell>
          <cell r="G117">
            <v>13388</v>
          </cell>
          <cell r="H117">
            <v>94840</v>
          </cell>
          <cell r="I117">
            <v>33597</v>
          </cell>
          <cell r="J117">
            <v>33597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2343</v>
          </cell>
        </row>
        <row r="118">
          <cell r="C118">
            <v>132</v>
          </cell>
          <cell r="D118" t="str">
            <v>F</v>
          </cell>
          <cell r="E118">
            <v>38</v>
          </cell>
          <cell r="F118">
            <v>10.42</v>
          </cell>
          <cell r="G118">
            <v>5738</v>
          </cell>
          <cell r="H118">
            <v>59786</v>
          </cell>
          <cell r="I118">
            <v>28836</v>
          </cell>
          <cell r="J118">
            <v>28836</v>
          </cell>
          <cell r="K118">
            <v>15972</v>
          </cell>
          <cell r="L118">
            <v>15972</v>
          </cell>
          <cell r="M118">
            <v>0</v>
          </cell>
          <cell r="N118">
            <v>15972</v>
          </cell>
          <cell r="O118">
            <v>15972</v>
          </cell>
          <cell r="P118">
            <v>15972</v>
          </cell>
          <cell r="Q118">
            <v>2734</v>
          </cell>
        </row>
        <row r="119">
          <cell r="C119">
            <v>133</v>
          </cell>
          <cell r="D119" t="str">
            <v>M</v>
          </cell>
          <cell r="E119">
            <v>51</v>
          </cell>
          <cell r="F119">
            <v>9.9380000000000006</v>
          </cell>
          <cell r="G119">
            <v>14450</v>
          </cell>
          <cell r="H119">
            <v>54160</v>
          </cell>
          <cell r="I119">
            <v>25659</v>
          </cell>
          <cell r="J119">
            <v>25659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C120">
            <v>134</v>
          </cell>
          <cell r="D120" t="str">
            <v>F</v>
          </cell>
          <cell r="E120">
            <v>49</v>
          </cell>
          <cell r="F120">
            <v>10.42</v>
          </cell>
          <cell r="G120">
            <v>5738</v>
          </cell>
          <cell r="H120">
            <v>59786</v>
          </cell>
          <cell r="I120">
            <v>37962</v>
          </cell>
          <cell r="J120">
            <v>37962</v>
          </cell>
          <cell r="K120">
            <v>21462</v>
          </cell>
          <cell r="L120">
            <v>21462</v>
          </cell>
          <cell r="M120">
            <v>0</v>
          </cell>
          <cell r="N120">
            <v>21462</v>
          </cell>
          <cell r="O120">
            <v>21462</v>
          </cell>
          <cell r="P120">
            <v>21462</v>
          </cell>
          <cell r="Q120">
            <v>3599</v>
          </cell>
        </row>
        <row r="121">
          <cell r="C121">
            <v>135</v>
          </cell>
          <cell r="D121" t="str">
            <v>F</v>
          </cell>
          <cell r="E121">
            <v>36</v>
          </cell>
          <cell r="F121">
            <v>10.42</v>
          </cell>
          <cell r="G121">
            <v>10200</v>
          </cell>
          <cell r="H121">
            <v>106287</v>
          </cell>
          <cell r="I121">
            <v>52145</v>
          </cell>
          <cell r="J121">
            <v>52145</v>
          </cell>
          <cell r="K121">
            <v>30629</v>
          </cell>
          <cell r="L121">
            <v>30629</v>
          </cell>
          <cell r="M121">
            <v>0</v>
          </cell>
          <cell r="N121">
            <v>30629</v>
          </cell>
          <cell r="O121">
            <v>30629</v>
          </cell>
          <cell r="P121">
            <v>30629</v>
          </cell>
          <cell r="Q121">
            <v>4946</v>
          </cell>
        </row>
        <row r="122">
          <cell r="C122">
            <v>136</v>
          </cell>
          <cell r="D122" t="str">
            <v>F</v>
          </cell>
          <cell r="E122">
            <v>45</v>
          </cell>
          <cell r="F122">
            <v>10.42</v>
          </cell>
          <cell r="G122">
            <v>6056</v>
          </cell>
          <cell r="H122">
            <v>63108</v>
          </cell>
          <cell r="I122">
            <v>32718</v>
          </cell>
          <cell r="J122">
            <v>32718</v>
          </cell>
          <cell r="K122">
            <v>15808</v>
          </cell>
          <cell r="L122">
            <v>15808</v>
          </cell>
          <cell r="M122">
            <v>0</v>
          </cell>
          <cell r="N122">
            <v>15808</v>
          </cell>
          <cell r="O122">
            <v>15808</v>
          </cell>
          <cell r="P122">
            <v>15808</v>
          </cell>
          <cell r="Q122">
            <v>3102</v>
          </cell>
        </row>
        <row r="123">
          <cell r="C123">
            <v>137</v>
          </cell>
          <cell r="D123" t="str">
            <v>M</v>
          </cell>
          <cell r="E123">
            <v>58</v>
          </cell>
          <cell r="F123">
            <v>10.42</v>
          </cell>
          <cell r="G123">
            <v>9642</v>
          </cell>
          <cell r="H123">
            <v>100474</v>
          </cell>
          <cell r="I123">
            <v>81660</v>
          </cell>
          <cell r="J123">
            <v>81660</v>
          </cell>
          <cell r="K123">
            <v>41045</v>
          </cell>
          <cell r="L123">
            <v>41045</v>
          </cell>
          <cell r="M123">
            <v>0</v>
          </cell>
          <cell r="N123">
            <v>41045</v>
          </cell>
          <cell r="O123">
            <v>41045</v>
          </cell>
          <cell r="P123">
            <v>41045</v>
          </cell>
          <cell r="Q123">
            <v>7745</v>
          </cell>
        </row>
        <row r="124">
          <cell r="C124">
            <v>138</v>
          </cell>
          <cell r="D124" t="str">
            <v>M</v>
          </cell>
          <cell r="E124">
            <v>54</v>
          </cell>
          <cell r="F124">
            <v>8.6020000000000003</v>
          </cell>
          <cell r="G124">
            <v>22419</v>
          </cell>
          <cell r="H124">
            <v>50515</v>
          </cell>
          <cell r="I124">
            <v>27931</v>
          </cell>
          <cell r="J124">
            <v>27931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C125">
            <v>139</v>
          </cell>
          <cell r="D125" t="str">
            <v>M</v>
          </cell>
          <cell r="E125">
            <v>48</v>
          </cell>
          <cell r="F125">
            <v>10.42</v>
          </cell>
          <cell r="G125">
            <v>10200</v>
          </cell>
          <cell r="H125">
            <v>72259</v>
          </cell>
          <cell r="I125">
            <v>29435</v>
          </cell>
          <cell r="J125">
            <v>29435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2052</v>
          </cell>
        </row>
        <row r="126">
          <cell r="C126">
            <v>140</v>
          </cell>
          <cell r="D126" t="str">
            <v>F</v>
          </cell>
          <cell r="E126">
            <v>47</v>
          </cell>
          <cell r="F126">
            <v>7.6189999999999998</v>
          </cell>
          <cell r="G126">
            <v>6163</v>
          </cell>
          <cell r="H126">
            <v>46955</v>
          </cell>
          <cell r="I126">
            <v>23955</v>
          </cell>
          <cell r="J126">
            <v>23955</v>
          </cell>
          <cell r="K126">
            <v>8933</v>
          </cell>
          <cell r="L126">
            <v>8933</v>
          </cell>
          <cell r="M126">
            <v>0</v>
          </cell>
          <cell r="N126">
            <v>8933</v>
          </cell>
          <cell r="O126">
            <v>8933</v>
          </cell>
          <cell r="P126">
            <v>8933</v>
          </cell>
          <cell r="Q126">
            <v>3106</v>
          </cell>
        </row>
        <row r="127">
          <cell r="C127">
            <v>142</v>
          </cell>
          <cell r="D127" t="str">
            <v>M</v>
          </cell>
          <cell r="E127">
            <v>54</v>
          </cell>
          <cell r="F127">
            <v>7.1180000000000003</v>
          </cell>
          <cell r="G127">
            <v>9138</v>
          </cell>
          <cell r="H127">
            <v>65044</v>
          </cell>
          <cell r="I127">
            <v>39761</v>
          </cell>
          <cell r="J127">
            <v>39761</v>
          </cell>
          <cell r="K127">
            <v>10054</v>
          </cell>
          <cell r="L127">
            <v>10054</v>
          </cell>
          <cell r="M127">
            <v>0</v>
          </cell>
          <cell r="N127">
            <v>10054</v>
          </cell>
          <cell r="O127">
            <v>10054</v>
          </cell>
          <cell r="P127">
            <v>10054</v>
          </cell>
          <cell r="Q127">
            <v>5518</v>
          </cell>
        </row>
        <row r="128">
          <cell r="C128">
            <v>143</v>
          </cell>
          <cell r="D128" t="str">
            <v>F</v>
          </cell>
          <cell r="E128">
            <v>43</v>
          </cell>
          <cell r="F128">
            <v>7.0519999999999996</v>
          </cell>
          <cell r="G128">
            <v>5525</v>
          </cell>
          <cell r="H128">
            <v>38966</v>
          </cell>
          <cell r="I128">
            <v>15674</v>
          </cell>
          <cell r="J128">
            <v>15674</v>
          </cell>
          <cell r="K128">
            <v>3701</v>
          </cell>
          <cell r="L128">
            <v>3701</v>
          </cell>
          <cell r="M128">
            <v>0</v>
          </cell>
          <cell r="N128">
            <v>3701</v>
          </cell>
          <cell r="O128">
            <v>3701</v>
          </cell>
          <cell r="P128">
            <v>3701</v>
          </cell>
          <cell r="Q128">
            <v>2196</v>
          </cell>
        </row>
        <row r="129">
          <cell r="C129">
            <v>144</v>
          </cell>
          <cell r="D129" t="str">
            <v>M</v>
          </cell>
          <cell r="E129">
            <v>41</v>
          </cell>
          <cell r="F129">
            <v>7.2519999999999998</v>
          </cell>
          <cell r="G129">
            <v>23975</v>
          </cell>
          <cell r="H129">
            <v>42010</v>
          </cell>
          <cell r="I129">
            <v>13397</v>
          </cell>
          <cell r="J129">
            <v>13397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C130">
            <v>146</v>
          </cell>
          <cell r="D130" t="str">
            <v>F</v>
          </cell>
          <cell r="E130">
            <v>35</v>
          </cell>
          <cell r="F130">
            <v>6.8609999999999998</v>
          </cell>
          <cell r="G130">
            <v>9403</v>
          </cell>
          <cell r="H130">
            <v>64515</v>
          </cell>
          <cell r="I130">
            <v>25088</v>
          </cell>
          <cell r="J130">
            <v>25088</v>
          </cell>
          <cell r="K130">
            <v>9326</v>
          </cell>
          <cell r="L130">
            <v>9326</v>
          </cell>
          <cell r="M130">
            <v>0</v>
          </cell>
          <cell r="N130">
            <v>9326</v>
          </cell>
          <cell r="O130">
            <v>9326</v>
          </cell>
          <cell r="P130">
            <v>9326</v>
          </cell>
          <cell r="Q130">
            <v>3614</v>
          </cell>
        </row>
        <row r="131">
          <cell r="C131">
            <v>147</v>
          </cell>
          <cell r="D131" t="str">
            <v>M</v>
          </cell>
          <cell r="E131">
            <v>40</v>
          </cell>
          <cell r="F131">
            <v>7</v>
          </cell>
          <cell r="G131">
            <v>10731</v>
          </cell>
          <cell r="H131">
            <v>75126</v>
          </cell>
          <cell r="I131">
            <v>30455</v>
          </cell>
          <cell r="J131">
            <v>30455</v>
          </cell>
          <cell r="K131">
            <v>10606</v>
          </cell>
          <cell r="L131">
            <v>10606</v>
          </cell>
          <cell r="M131">
            <v>0</v>
          </cell>
          <cell r="N131">
            <v>10606</v>
          </cell>
          <cell r="O131">
            <v>10606</v>
          </cell>
          <cell r="P131">
            <v>10606</v>
          </cell>
          <cell r="Q131">
            <v>4298</v>
          </cell>
        </row>
        <row r="132">
          <cell r="C132">
            <v>148</v>
          </cell>
          <cell r="D132" t="str">
            <v>M</v>
          </cell>
          <cell r="E132">
            <v>44</v>
          </cell>
          <cell r="F132">
            <v>6.9809999999999999</v>
          </cell>
          <cell r="G132">
            <v>8075</v>
          </cell>
          <cell r="H132">
            <v>56376</v>
          </cell>
          <cell r="I132">
            <v>24905</v>
          </cell>
          <cell r="J132">
            <v>24905</v>
          </cell>
          <cell r="K132">
            <v>8803</v>
          </cell>
          <cell r="L132">
            <v>8803</v>
          </cell>
          <cell r="M132">
            <v>0</v>
          </cell>
          <cell r="N132">
            <v>8803</v>
          </cell>
          <cell r="O132">
            <v>8803</v>
          </cell>
          <cell r="P132">
            <v>8803</v>
          </cell>
          <cell r="Q132">
            <v>3524</v>
          </cell>
        </row>
        <row r="133">
          <cell r="C133">
            <v>149</v>
          </cell>
          <cell r="D133" t="str">
            <v>F</v>
          </cell>
          <cell r="E133">
            <v>39</v>
          </cell>
          <cell r="F133">
            <v>6.8819999999999997</v>
          </cell>
          <cell r="G133">
            <v>5313</v>
          </cell>
          <cell r="H133">
            <v>36566</v>
          </cell>
          <cell r="I133">
            <v>14951</v>
          </cell>
          <cell r="J133">
            <v>14951</v>
          </cell>
          <cell r="K133">
            <v>5453</v>
          </cell>
          <cell r="L133">
            <v>5453</v>
          </cell>
          <cell r="M133">
            <v>0</v>
          </cell>
          <cell r="N133">
            <v>5453</v>
          </cell>
          <cell r="O133">
            <v>5453</v>
          </cell>
          <cell r="P133">
            <v>5453</v>
          </cell>
          <cell r="Q133">
            <v>2146</v>
          </cell>
        </row>
        <row r="134">
          <cell r="C134">
            <v>150</v>
          </cell>
          <cell r="D134" t="str">
            <v>F</v>
          </cell>
          <cell r="E134">
            <v>33</v>
          </cell>
          <cell r="F134">
            <v>6.88</v>
          </cell>
          <cell r="G134">
            <v>5525</v>
          </cell>
          <cell r="H134">
            <v>38013</v>
          </cell>
          <cell r="I134">
            <v>14721</v>
          </cell>
          <cell r="J134">
            <v>14721</v>
          </cell>
          <cell r="K134">
            <v>5630</v>
          </cell>
          <cell r="L134">
            <v>5630</v>
          </cell>
          <cell r="M134">
            <v>0</v>
          </cell>
          <cell r="N134">
            <v>5630</v>
          </cell>
          <cell r="O134">
            <v>5630</v>
          </cell>
          <cell r="P134">
            <v>5630</v>
          </cell>
          <cell r="Q134">
            <v>2114</v>
          </cell>
        </row>
        <row r="135">
          <cell r="C135" t="str">
            <v>All</v>
          </cell>
          <cell r="G135">
            <v>1686823</v>
          </cell>
          <cell r="H135">
            <v>14886448</v>
          </cell>
          <cell r="I135">
            <v>10600140</v>
          </cell>
          <cell r="J135">
            <v>10600140</v>
          </cell>
          <cell r="K135">
            <v>6105857</v>
          </cell>
          <cell r="L135">
            <v>6105857</v>
          </cell>
          <cell r="M135">
            <v>0</v>
          </cell>
          <cell r="N135">
            <v>6105857</v>
          </cell>
          <cell r="O135">
            <v>6105857</v>
          </cell>
          <cell r="P135">
            <v>6105857</v>
          </cell>
          <cell r="Q135">
            <v>453861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8513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41</v>
          </cell>
          <cell r="F25">
            <v>12.308999999999999</v>
          </cell>
        </row>
        <row r="26">
          <cell r="C26">
            <v>2</v>
          </cell>
          <cell r="D26" t="str">
            <v>F</v>
          </cell>
          <cell r="E26">
            <v>41</v>
          </cell>
          <cell r="F26">
            <v>11.728</v>
          </cell>
          <cell r="G26">
            <v>23388</v>
          </cell>
          <cell r="H26">
            <v>76807</v>
          </cell>
          <cell r="I26">
            <v>35058</v>
          </cell>
          <cell r="J26">
            <v>35058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2954</v>
          </cell>
        </row>
        <row r="27">
          <cell r="C27">
            <v>4</v>
          </cell>
          <cell r="D27" t="str">
            <v>F</v>
          </cell>
          <cell r="E27">
            <v>59</v>
          </cell>
          <cell r="F27">
            <v>23.736999999999998</v>
          </cell>
          <cell r="G27">
            <v>11700</v>
          </cell>
          <cell r="H27">
            <v>277725</v>
          </cell>
          <cell r="I27">
            <v>263939</v>
          </cell>
          <cell r="J27">
            <v>263939</v>
          </cell>
          <cell r="K27">
            <v>142800</v>
          </cell>
          <cell r="L27">
            <v>142800</v>
          </cell>
          <cell r="M27">
            <v>0</v>
          </cell>
          <cell r="N27">
            <v>142800</v>
          </cell>
          <cell r="O27">
            <v>142800</v>
          </cell>
          <cell r="P27">
            <v>142800</v>
          </cell>
          <cell r="Q27">
            <v>10998</v>
          </cell>
        </row>
        <row r="28">
          <cell r="C28">
            <v>7</v>
          </cell>
          <cell r="D28" t="str">
            <v>F</v>
          </cell>
          <cell r="E28">
            <v>58</v>
          </cell>
          <cell r="F28">
            <v>8.2460000000000004</v>
          </cell>
          <cell r="G28">
            <v>26222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9</v>
          </cell>
          <cell r="D29" t="str">
            <v>F</v>
          </cell>
          <cell r="E29">
            <v>54</v>
          </cell>
          <cell r="F29">
            <v>9.3379999999999992</v>
          </cell>
          <cell r="G29">
            <v>12444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10</v>
          </cell>
          <cell r="D30" t="str">
            <v>M</v>
          </cell>
          <cell r="E30">
            <v>53</v>
          </cell>
          <cell r="F30">
            <v>9.1140000000000008</v>
          </cell>
          <cell r="G30">
            <v>10106</v>
          </cell>
          <cell r="H30">
            <v>25791</v>
          </cell>
          <cell r="I30">
            <v>14862</v>
          </cell>
          <cell r="J30">
            <v>14862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1611</v>
          </cell>
        </row>
        <row r="31">
          <cell r="C31">
            <v>11</v>
          </cell>
          <cell r="D31" t="str">
            <v>M</v>
          </cell>
          <cell r="E31">
            <v>53</v>
          </cell>
          <cell r="F31">
            <v>23.585999999999999</v>
          </cell>
          <cell r="G31">
            <v>25513</v>
          </cell>
          <cell r="H31">
            <v>601753</v>
          </cell>
          <cell r="I31">
            <v>474618</v>
          </cell>
          <cell r="J31">
            <v>474618</v>
          </cell>
          <cell r="K31">
            <v>387600</v>
          </cell>
          <cell r="L31">
            <v>387600</v>
          </cell>
          <cell r="M31">
            <v>0</v>
          </cell>
          <cell r="N31">
            <v>387600</v>
          </cell>
          <cell r="O31">
            <v>387600</v>
          </cell>
          <cell r="P31">
            <v>387600</v>
          </cell>
          <cell r="Q31">
            <v>19879</v>
          </cell>
        </row>
        <row r="32">
          <cell r="C32">
            <v>12</v>
          </cell>
          <cell r="D32" t="str">
            <v>M</v>
          </cell>
          <cell r="E32">
            <v>53</v>
          </cell>
          <cell r="F32">
            <v>9.2010000000000005</v>
          </cell>
          <cell r="G32">
            <v>7981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13</v>
          </cell>
          <cell r="D33" t="str">
            <v>M</v>
          </cell>
          <cell r="E33">
            <v>53</v>
          </cell>
          <cell r="F33">
            <v>25.727</v>
          </cell>
          <cell r="G33">
            <v>27106</v>
          </cell>
          <cell r="H33">
            <v>539528</v>
          </cell>
          <cell r="I33">
            <v>394103</v>
          </cell>
          <cell r="J33">
            <v>394103</v>
          </cell>
          <cell r="K33">
            <v>255000</v>
          </cell>
          <cell r="L33">
            <v>255000</v>
          </cell>
          <cell r="M33">
            <v>0</v>
          </cell>
          <cell r="N33">
            <v>255000</v>
          </cell>
          <cell r="O33">
            <v>255000</v>
          </cell>
          <cell r="P33">
            <v>255000</v>
          </cell>
          <cell r="Q33">
            <v>0</v>
          </cell>
        </row>
        <row r="34">
          <cell r="C34">
            <v>15</v>
          </cell>
          <cell r="D34" t="str">
            <v>M</v>
          </cell>
          <cell r="E34">
            <v>56</v>
          </cell>
          <cell r="F34">
            <v>14.644</v>
          </cell>
          <cell r="G34">
            <v>35500</v>
          </cell>
          <cell r="H34">
            <v>145569</v>
          </cell>
          <cell r="I34">
            <v>110358</v>
          </cell>
          <cell r="J34">
            <v>110358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7445</v>
          </cell>
        </row>
        <row r="35">
          <cell r="C35">
            <v>16</v>
          </cell>
          <cell r="D35" t="str">
            <v>F</v>
          </cell>
          <cell r="E35">
            <v>55</v>
          </cell>
          <cell r="F35">
            <v>24.757999999999999</v>
          </cell>
          <cell r="G35">
            <v>10638</v>
          </cell>
          <cell r="H35">
            <v>223799</v>
          </cell>
          <cell r="I35">
            <v>212914</v>
          </cell>
          <cell r="J35">
            <v>212914</v>
          </cell>
          <cell r="K35">
            <v>153000</v>
          </cell>
          <cell r="L35">
            <v>153000</v>
          </cell>
          <cell r="M35">
            <v>0</v>
          </cell>
          <cell r="N35">
            <v>153000</v>
          </cell>
          <cell r="O35">
            <v>153000</v>
          </cell>
          <cell r="P35">
            <v>153000</v>
          </cell>
          <cell r="Q35">
            <v>2800</v>
          </cell>
        </row>
        <row r="36">
          <cell r="C36">
            <v>17</v>
          </cell>
          <cell r="D36" t="str">
            <v>F</v>
          </cell>
          <cell r="E36">
            <v>56</v>
          </cell>
          <cell r="F36">
            <v>19.707000000000001</v>
          </cell>
          <cell r="G36">
            <v>19669</v>
          </cell>
          <cell r="H36">
            <v>108532</v>
          </cell>
          <cell r="I36">
            <v>73264</v>
          </cell>
          <cell r="J36">
            <v>73264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3674</v>
          </cell>
        </row>
        <row r="37">
          <cell r="C37">
            <v>18</v>
          </cell>
          <cell r="D37" t="str">
            <v>F</v>
          </cell>
          <cell r="E37">
            <v>56</v>
          </cell>
          <cell r="F37">
            <v>15.087999999999999</v>
          </cell>
          <cell r="G37">
            <v>24450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19</v>
          </cell>
          <cell r="D38" t="str">
            <v>M</v>
          </cell>
          <cell r="E38">
            <v>55</v>
          </cell>
          <cell r="F38">
            <v>8.9220000000000006</v>
          </cell>
          <cell r="G38">
            <v>23919</v>
          </cell>
          <cell r="H38">
            <v>87751</v>
          </cell>
          <cell r="I38">
            <v>68222</v>
          </cell>
          <cell r="J38">
            <v>68222</v>
          </cell>
          <cell r="K38">
            <v>51000</v>
          </cell>
          <cell r="L38">
            <v>51000</v>
          </cell>
          <cell r="M38">
            <v>0</v>
          </cell>
          <cell r="N38">
            <v>51000</v>
          </cell>
          <cell r="O38">
            <v>51000</v>
          </cell>
          <cell r="P38">
            <v>51000</v>
          </cell>
          <cell r="Q38">
            <v>0</v>
          </cell>
        </row>
        <row r="39">
          <cell r="C39">
            <v>21</v>
          </cell>
          <cell r="D39" t="str">
            <v>M</v>
          </cell>
          <cell r="E39">
            <v>55</v>
          </cell>
          <cell r="F39">
            <v>24.757999999999999</v>
          </cell>
          <cell r="G39">
            <v>22325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22</v>
          </cell>
          <cell r="D40" t="str">
            <v>F</v>
          </cell>
          <cell r="E40">
            <v>54</v>
          </cell>
          <cell r="F40">
            <v>14.814</v>
          </cell>
          <cell r="G40">
            <v>52500</v>
          </cell>
          <cell r="H40">
            <v>579059</v>
          </cell>
          <cell r="I40">
            <v>444876</v>
          </cell>
          <cell r="J40">
            <v>444876</v>
          </cell>
          <cell r="K40">
            <v>285600</v>
          </cell>
          <cell r="L40">
            <v>285600</v>
          </cell>
          <cell r="M40">
            <v>0</v>
          </cell>
          <cell r="N40">
            <v>285600</v>
          </cell>
          <cell r="O40">
            <v>285600</v>
          </cell>
          <cell r="P40">
            <v>285600</v>
          </cell>
          <cell r="Q40">
            <v>11161</v>
          </cell>
        </row>
        <row r="41">
          <cell r="C41">
            <v>24</v>
          </cell>
          <cell r="D41" t="str">
            <v>M</v>
          </cell>
          <cell r="E41">
            <v>47</v>
          </cell>
          <cell r="F41">
            <v>8.9169999999999998</v>
          </cell>
          <cell r="G41">
            <v>27000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25</v>
          </cell>
          <cell r="D42" t="str">
            <v>M</v>
          </cell>
          <cell r="E42">
            <v>52</v>
          </cell>
          <cell r="F42">
            <v>14.923999999999999</v>
          </cell>
          <cell r="G42">
            <v>10106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26</v>
          </cell>
          <cell r="D43" t="str">
            <v>F</v>
          </cell>
          <cell r="E43">
            <v>52</v>
          </cell>
          <cell r="F43">
            <v>8.7929999999999993</v>
          </cell>
          <cell r="G43">
            <v>23675</v>
          </cell>
          <cell r="H43">
            <v>87701</v>
          </cell>
          <cell r="I43">
            <v>183600</v>
          </cell>
          <cell r="J43">
            <v>183600</v>
          </cell>
          <cell r="K43">
            <v>183600</v>
          </cell>
          <cell r="L43">
            <v>183600</v>
          </cell>
          <cell r="M43">
            <v>0</v>
          </cell>
          <cell r="N43">
            <v>183600</v>
          </cell>
          <cell r="O43">
            <v>183600</v>
          </cell>
          <cell r="P43">
            <v>183600</v>
          </cell>
          <cell r="Q43">
            <v>0</v>
          </cell>
        </row>
        <row r="44">
          <cell r="C44">
            <v>27</v>
          </cell>
          <cell r="D44" t="str">
            <v>M</v>
          </cell>
          <cell r="E44">
            <v>50</v>
          </cell>
          <cell r="F44">
            <v>19.707000000000001</v>
          </cell>
          <cell r="G44">
            <v>12763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28</v>
          </cell>
          <cell r="D45" t="str">
            <v>F</v>
          </cell>
          <cell r="E45">
            <v>50</v>
          </cell>
          <cell r="F45">
            <v>9.6750000000000007</v>
          </cell>
          <cell r="G45">
            <v>25513</v>
          </cell>
          <cell r="H45">
            <v>246848</v>
          </cell>
          <cell r="I45">
            <v>255000</v>
          </cell>
          <cell r="J45">
            <v>255000</v>
          </cell>
          <cell r="K45">
            <v>255000</v>
          </cell>
          <cell r="L45">
            <v>255000</v>
          </cell>
          <cell r="M45">
            <v>0</v>
          </cell>
          <cell r="N45">
            <v>255000</v>
          </cell>
          <cell r="O45">
            <v>255000</v>
          </cell>
          <cell r="P45">
            <v>255000</v>
          </cell>
          <cell r="Q45">
            <v>26036</v>
          </cell>
        </row>
        <row r="46">
          <cell r="C46">
            <v>30</v>
          </cell>
          <cell r="D46" t="str">
            <v>M</v>
          </cell>
          <cell r="E46">
            <v>46</v>
          </cell>
          <cell r="F46">
            <v>10.936999999999999</v>
          </cell>
          <cell r="G46">
            <v>10638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31</v>
          </cell>
          <cell r="D47" t="str">
            <v>F</v>
          </cell>
          <cell r="E47">
            <v>42</v>
          </cell>
          <cell r="F47">
            <v>9.6039999999999992</v>
          </cell>
          <cell r="G47">
            <v>8739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32</v>
          </cell>
          <cell r="D48" t="str">
            <v>M</v>
          </cell>
          <cell r="E48">
            <v>42</v>
          </cell>
          <cell r="F48">
            <v>18.123999999999999</v>
          </cell>
          <cell r="G48">
            <v>19138</v>
          </cell>
          <cell r="H48">
            <v>346859</v>
          </cell>
          <cell r="I48">
            <v>257535</v>
          </cell>
          <cell r="J48">
            <v>257535</v>
          </cell>
          <cell r="K48">
            <v>183600</v>
          </cell>
          <cell r="L48">
            <v>183600</v>
          </cell>
          <cell r="M48">
            <v>0</v>
          </cell>
          <cell r="N48">
            <v>183600</v>
          </cell>
          <cell r="O48">
            <v>183600</v>
          </cell>
          <cell r="P48">
            <v>183600</v>
          </cell>
          <cell r="Q48">
            <v>14043</v>
          </cell>
        </row>
        <row r="49">
          <cell r="C49">
            <v>33</v>
          </cell>
          <cell r="D49" t="str">
            <v>F</v>
          </cell>
          <cell r="E49">
            <v>41</v>
          </cell>
          <cell r="F49">
            <v>18.673999999999999</v>
          </cell>
          <cell r="G49">
            <v>8167</v>
          </cell>
          <cell r="H49">
            <v>152521</v>
          </cell>
          <cell r="I49">
            <v>113824</v>
          </cell>
          <cell r="J49">
            <v>113824</v>
          </cell>
          <cell r="K49">
            <v>81600</v>
          </cell>
          <cell r="L49">
            <v>81600</v>
          </cell>
          <cell r="M49">
            <v>0</v>
          </cell>
          <cell r="N49">
            <v>81600</v>
          </cell>
          <cell r="O49">
            <v>81600</v>
          </cell>
          <cell r="P49">
            <v>81600</v>
          </cell>
          <cell r="Q49">
            <v>6024</v>
          </cell>
        </row>
        <row r="50">
          <cell r="C50">
            <v>34</v>
          </cell>
          <cell r="D50" t="str">
            <v>M</v>
          </cell>
          <cell r="E50">
            <v>47</v>
          </cell>
          <cell r="F50">
            <v>23.838000000000001</v>
          </cell>
          <cell r="G50">
            <v>28700</v>
          </cell>
          <cell r="H50">
            <v>519468</v>
          </cell>
          <cell r="I50">
            <v>360187</v>
          </cell>
          <cell r="J50">
            <v>360187</v>
          </cell>
          <cell r="K50">
            <v>244800</v>
          </cell>
          <cell r="L50">
            <v>244800</v>
          </cell>
          <cell r="M50">
            <v>0</v>
          </cell>
          <cell r="N50">
            <v>244800</v>
          </cell>
          <cell r="O50">
            <v>244800</v>
          </cell>
          <cell r="P50">
            <v>244800</v>
          </cell>
          <cell r="Q50">
            <v>0</v>
          </cell>
        </row>
        <row r="51">
          <cell r="C51">
            <v>36</v>
          </cell>
          <cell r="D51" t="str">
            <v>M</v>
          </cell>
          <cell r="E51">
            <v>51</v>
          </cell>
          <cell r="F51">
            <v>16.334</v>
          </cell>
          <cell r="G51">
            <v>8513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37</v>
          </cell>
          <cell r="D52" t="str">
            <v>M</v>
          </cell>
          <cell r="E52">
            <v>50</v>
          </cell>
          <cell r="F52">
            <v>19.419</v>
          </cell>
          <cell r="G52">
            <v>18606</v>
          </cell>
          <cell r="H52">
            <v>258883</v>
          </cell>
          <cell r="I52">
            <v>222474</v>
          </cell>
          <cell r="J52">
            <v>222474</v>
          </cell>
          <cell r="K52">
            <v>153000</v>
          </cell>
          <cell r="L52">
            <v>153000</v>
          </cell>
          <cell r="M52">
            <v>0</v>
          </cell>
          <cell r="N52">
            <v>153000</v>
          </cell>
          <cell r="O52">
            <v>153000</v>
          </cell>
          <cell r="P52">
            <v>153000</v>
          </cell>
          <cell r="Q52">
            <v>0</v>
          </cell>
        </row>
        <row r="53">
          <cell r="C53">
            <v>38</v>
          </cell>
          <cell r="D53" t="str">
            <v>M</v>
          </cell>
          <cell r="E53">
            <v>50</v>
          </cell>
          <cell r="F53">
            <v>14.579000000000001</v>
          </cell>
          <cell r="G53">
            <v>15950</v>
          </cell>
          <cell r="H53">
            <v>65110</v>
          </cell>
          <cell r="I53">
            <v>41697</v>
          </cell>
          <cell r="J53">
            <v>41697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2824</v>
          </cell>
        </row>
        <row r="54">
          <cell r="C54">
            <v>39</v>
          </cell>
          <cell r="D54" t="str">
            <v>M</v>
          </cell>
          <cell r="E54">
            <v>42</v>
          </cell>
          <cell r="F54">
            <v>13.182</v>
          </cell>
          <cell r="G54">
            <v>11169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41</v>
          </cell>
          <cell r="D55" t="str">
            <v>F</v>
          </cell>
          <cell r="E55">
            <v>58</v>
          </cell>
          <cell r="F55">
            <v>24.503</v>
          </cell>
          <cell r="G55">
            <v>13613</v>
          </cell>
          <cell r="H55">
            <v>184891</v>
          </cell>
          <cell r="I55">
            <v>158524</v>
          </cell>
          <cell r="J55">
            <v>158524</v>
          </cell>
          <cell r="K55">
            <v>120000</v>
          </cell>
          <cell r="L55">
            <v>120000</v>
          </cell>
          <cell r="M55">
            <v>0</v>
          </cell>
          <cell r="N55">
            <v>120000</v>
          </cell>
          <cell r="O55">
            <v>120000</v>
          </cell>
          <cell r="P55">
            <v>120000</v>
          </cell>
          <cell r="Q55">
            <v>0</v>
          </cell>
        </row>
        <row r="56">
          <cell r="C56">
            <v>42</v>
          </cell>
          <cell r="D56" t="str">
            <v>F</v>
          </cell>
          <cell r="E56">
            <v>30</v>
          </cell>
          <cell r="F56">
            <v>9.0809999999999995</v>
          </cell>
          <cell r="G56">
            <v>9044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43</v>
          </cell>
          <cell r="D57" t="str">
            <v>F</v>
          </cell>
          <cell r="E57">
            <v>45</v>
          </cell>
          <cell r="F57">
            <v>8.1530000000000005</v>
          </cell>
          <cell r="G57">
            <v>13825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C58">
            <v>44</v>
          </cell>
          <cell r="D58" t="str">
            <v>M</v>
          </cell>
          <cell r="E58">
            <v>51</v>
          </cell>
          <cell r="F58">
            <v>15.087999999999999</v>
          </cell>
          <cell r="G58">
            <v>14303</v>
          </cell>
          <cell r="H58">
            <v>60427</v>
          </cell>
          <cell r="I58">
            <v>33113</v>
          </cell>
          <cell r="J58">
            <v>33113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2167</v>
          </cell>
        </row>
        <row r="59">
          <cell r="C59">
            <v>45</v>
          </cell>
          <cell r="D59" t="str">
            <v>F</v>
          </cell>
          <cell r="E59">
            <v>28</v>
          </cell>
          <cell r="F59">
            <v>9.0749999999999993</v>
          </cell>
          <cell r="G59">
            <v>8247</v>
          </cell>
          <cell r="H59">
            <v>20958</v>
          </cell>
          <cell r="I59">
            <v>10334</v>
          </cell>
          <cell r="J59">
            <v>10334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1126</v>
          </cell>
        </row>
        <row r="60">
          <cell r="C60">
            <v>46</v>
          </cell>
          <cell r="D60" t="str">
            <v>F</v>
          </cell>
          <cell r="E60">
            <v>58</v>
          </cell>
          <cell r="F60">
            <v>28.837</v>
          </cell>
          <cell r="G60">
            <v>15950</v>
          </cell>
          <cell r="H60">
            <v>459963</v>
          </cell>
          <cell r="I60">
            <v>404362</v>
          </cell>
          <cell r="J60">
            <v>404362</v>
          </cell>
          <cell r="K60">
            <v>357000</v>
          </cell>
          <cell r="L60">
            <v>357000</v>
          </cell>
          <cell r="M60">
            <v>0</v>
          </cell>
          <cell r="N60">
            <v>357000</v>
          </cell>
          <cell r="O60">
            <v>357000</v>
          </cell>
          <cell r="P60">
            <v>357000</v>
          </cell>
          <cell r="Q60">
            <v>13863</v>
          </cell>
        </row>
        <row r="61">
          <cell r="C61">
            <v>47</v>
          </cell>
          <cell r="D61" t="str">
            <v>F</v>
          </cell>
          <cell r="E61">
            <v>58</v>
          </cell>
          <cell r="F61">
            <v>12.106</v>
          </cell>
          <cell r="G61">
            <v>10638</v>
          </cell>
          <cell r="H61">
            <v>36060</v>
          </cell>
          <cell r="I61">
            <v>26968</v>
          </cell>
          <cell r="J61">
            <v>26968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2203</v>
          </cell>
        </row>
        <row r="62">
          <cell r="C62">
            <v>48</v>
          </cell>
          <cell r="D62" t="str">
            <v>F</v>
          </cell>
          <cell r="E62">
            <v>52</v>
          </cell>
          <cell r="F62">
            <v>27</v>
          </cell>
          <cell r="G62">
            <v>16163</v>
          </cell>
          <cell r="H62">
            <v>315138</v>
          </cell>
          <cell r="I62">
            <v>249977</v>
          </cell>
          <cell r="J62">
            <v>249977</v>
          </cell>
          <cell r="K62">
            <v>200000</v>
          </cell>
          <cell r="L62">
            <v>200000</v>
          </cell>
          <cell r="M62">
            <v>0</v>
          </cell>
          <cell r="N62">
            <v>200000</v>
          </cell>
          <cell r="O62">
            <v>200000</v>
          </cell>
          <cell r="P62">
            <v>200000</v>
          </cell>
          <cell r="Q62">
            <v>3546</v>
          </cell>
        </row>
        <row r="63">
          <cell r="C63">
            <v>50</v>
          </cell>
          <cell r="D63" t="str">
            <v>M</v>
          </cell>
          <cell r="E63">
            <v>57</v>
          </cell>
          <cell r="F63">
            <v>7.923</v>
          </cell>
          <cell r="G63">
            <v>25513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C64">
            <v>71</v>
          </cell>
          <cell r="D64" t="str">
            <v>M</v>
          </cell>
          <cell r="E64">
            <v>57</v>
          </cell>
          <cell r="F64">
            <v>8.5030000000000001</v>
          </cell>
          <cell r="G64">
            <v>25513</v>
          </cell>
          <cell r="H64">
            <v>60747</v>
          </cell>
          <cell r="I64">
            <v>39165</v>
          </cell>
          <cell r="J64">
            <v>39165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4550</v>
          </cell>
        </row>
        <row r="65">
          <cell r="C65">
            <v>72</v>
          </cell>
          <cell r="D65" t="str">
            <v>F</v>
          </cell>
          <cell r="E65">
            <v>54</v>
          </cell>
          <cell r="F65">
            <v>21.504999999999999</v>
          </cell>
          <cell r="G65">
            <v>35500</v>
          </cell>
          <cell r="H65">
            <v>763457</v>
          </cell>
          <cell r="I65">
            <v>621627</v>
          </cell>
          <cell r="J65">
            <v>621627</v>
          </cell>
          <cell r="K65">
            <v>510000</v>
          </cell>
          <cell r="L65">
            <v>510000</v>
          </cell>
          <cell r="M65">
            <v>0</v>
          </cell>
          <cell r="N65">
            <v>510000</v>
          </cell>
          <cell r="O65">
            <v>510000</v>
          </cell>
          <cell r="P65">
            <v>510000</v>
          </cell>
          <cell r="Q65">
            <v>28566</v>
          </cell>
        </row>
        <row r="66">
          <cell r="C66">
            <v>73</v>
          </cell>
          <cell r="D66" t="str">
            <v>F</v>
          </cell>
          <cell r="E66">
            <v>54</v>
          </cell>
          <cell r="F66">
            <v>24.792999999999999</v>
          </cell>
          <cell r="G66">
            <v>15100</v>
          </cell>
          <cell r="H66">
            <v>208196</v>
          </cell>
          <cell r="I66">
            <v>172166</v>
          </cell>
          <cell r="J66">
            <v>172166</v>
          </cell>
          <cell r="K66">
            <v>150000</v>
          </cell>
          <cell r="L66">
            <v>150000</v>
          </cell>
          <cell r="M66">
            <v>0</v>
          </cell>
          <cell r="N66">
            <v>150000</v>
          </cell>
          <cell r="O66">
            <v>150000</v>
          </cell>
          <cell r="P66">
            <v>150000</v>
          </cell>
          <cell r="Q66">
            <v>0</v>
          </cell>
        </row>
        <row r="67">
          <cell r="C67">
            <v>74</v>
          </cell>
          <cell r="D67" t="str">
            <v>F</v>
          </cell>
          <cell r="E67">
            <v>54</v>
          </cell>
          <cell r="F67">
            <v>20.565999999999999</v>
          </cell>
          <cell r="G67">
            <v>17769</v>
          </cell>
          <cell r="H67">
            <v>365450</v>
          </cell>
          <cell r="I67">
            <v>300122</v>
          </cell>
          <cell r="J67">
            <v>300122</v>
          </cell>
          <cell r="K67">
            <v>255000</v>
          </cell>
          <cell r="L67">
            <v>255000</v>
          </cell>
          <cell r="M67">
            <v>0</v>
          </cell>
          <cell r="N67">
            <v>255000</v>
          </cell>
          <cell r="O67">
            <v>255000</v>
          </cell>
          <cell r="P67">
            <v>255000</v>
          </cell>
          <cell r="Q67">
            <v>14422</v>
          </cell>
        </row>
        <row r="68">
          <cell r="C68">
            <v>75</v>
          </cell>
          <cell r="D68" t="str">
            <v>F</v>
          </cell>
          <cell r="E68">
            <v>53</v>
          </cell>
          <cell r="F68">
            <v>19.466000000000001</v>
          </cell>
          <cell r="G68">
            <v>16609</v>
          </cell>
          <cell r="H68">
            <v>323308</v>
          </cell>
          <cell r="I68">
            <v>297046</v>
          </cell>
          <cell r="J68">
            <v>297046</v>
          </cell>
          <cell r="K68">
            <v>204000</v>
          </cell>
          <cell r="L68">
            <v>204000</v>
          </cell>
          <cell r="M68">
            <v>0</v>
          </cell>
          <cell r="N68">
            <v>204000</v>
          </cell>
          <cell r="O68">
            <v>204000</v>
          </cell>
          <cell r="P68">
            <v>204000</v>
          </cell>
          <cell r="Q68">
            <v>15075</v>
          </cell>
        </row>
        <row r="69">
          <cell r="C69">
            <v>76</v>
          </cell>
          <cell r="D69" t="str">
            <v>M</v>
          </cell>
          <cell r="E69">
            <v>52</v>
          </cell>
          <cell r="F69">
            <v>18.734999999999999</v>
          </cell>
          <cell r="G69">
            <v>19860</v>
          </cell>
          <cell r="H69">
            <v>372079</v>
          </cell>
          <cell r="I69">
            <v>328673</v>
          </cell>
          <cell r="J69">
            <v>328673</v>
          </cell>
          <cell r="K69">
            <v>224400</v>
          </cell>
          <cell r="L69">
            <v>224400</v>
          </cell>
          <cell r="M69">
            <v>0</v>
          </cell>
          <cell r="N69">
            <v>224400</v>
          </cell>
          <cell r="O69">
            <v>224400</v>
          </cell>
          <cell r="P69">
            <v>224400</v>
          </cell>
          <cell r="Q69">
            <v>17325</v>
          </cell>
        </row>
        <row r="70">
          <cell r="C70">
            <v>77</v>
          </cell>
          <cell r="D70" t="str">
            <v>F</v>
          </cell>
          <cell r="E70">
            <v>52</v>
          </cell>
          <cell r="F70">
            <v>7.8410000000000002</v>
          </cell>
          <cell r="G70">
            <v>16035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C71">
            <v>79</v>
          </cell>
          <cell r="D71" t="str">
            <v>F</v>
          </cell>
          <cell r="E71">
            <v>56</v>
          </cell>
          <cell r="F71">
            <v>8.4649999999999999</v>
          </cell>
          <cell r="G71">
            <v>12975</v>
          </cell>
          <cell r="H71">
            <v>30755</v>
          </cell>
          <cell r="I71">
            <v>20691</v>
          </cell>
          <cell r="J71">
            <v>20691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2416</v>
          </cell>
        </row>
        <row r="72">
          <cell r="C72">
            <v>80</v>
          </cell>
          <cell r="D72" t="str">
            <v>F</v>
          </cell>
          <cell r="E72">
            <v>55</v>
          </cell>
          <cell r="F72">
            <v>7.8410000000000002</v>
          </cell>
          <cell r="G72">
            <v>23175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81</v>
          </cell>
          <cell r="D73" t="str">
            <v>F</v>
          </cell>
          <cell r="E73">
            <v>52</v>
          </cell>
          <cell r="F73">
            <v>21.204000000000001</v>
          </cell>
          <cell r="G73">
            <v>15641</v>
          </cell>
          <cell r="H73">
            <v>258432</v>
          </cell>
          <cell r="I73">
            <v>219868</v>
          </cell>
          <cell r="J73">
            <v>219868</v>
          </cell>
          <cell r="K73">
            <v>200000</v>
          </cell>
          <cell r="L73">
            <v>200000</v>
          </cell>
          <cell r="M73">
            <v>0</v>
          </cell>
          <cell r="N73">
            <v>200000</v>
          </cell>
          <cell r="O73">
            <v>200000</v>
          </cell>
          <cell r="P73">
            <v>200000</v>
          </cell>
          <cell r="Q73">
            <v>3681</v>
          </cell>
        </row>
        <row r="74">
          <cell r="C74">
            <v>82</v>
          </cell>
          <cell r="D74" t="str">
            <v>F</v>
          </cell>
          <cell r="E74">
            <v>52</v>
          </cell>
          <cell r="F74">
            <v>8.1199999999999992</v>
          </cell>
          <cell r="G74">
            <v>22325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84</v>
          </cell>
          <cell r="D75" t="str">
            <v>M</v>
          </cell>
          <cell r="E75">
            <v>50</v>
          </cell>
          <cell r="F75">
            <v>7.923</v>
          </cell>
          <cell r="G75">
            <v>21475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C76">
            <v>85</v>
          </cell>
          <cell r="D76" t="str">
            <v>F</v>
          </cell>
          <cell r="E76">
            <v>49</v>
          </cell>
          <cell r="F76">
            <v>17.548999999999999</v>
          </cell>
          <cell r="G76">
            <v>9575</v>
          </cell>
          <cell r="H76">
            <v>81271</v>
          </cell>
          <cell r="I76">
            <v>66418</v>
          </cell>
          <cell r="J76">
            <v>66418</v>
          </cell>
          <cell r="K76">
            <v>40000</v>
          </cell>
          <cell r="L76">
            <v>40000</v>
          </cell>
          <cell r="M76">
            <v>0</v>
          </cell>
          <cell r="N76">
            <v>40000</v>
          </cell>
          <cell r="O76">
            <v>40000</v>
          </cell>
          <cell r="P76">
            <v>40000</v>
          </cell>
          <cell r="Q76">
            <v>2165</v>
          </cell>
        </row>
        <row r="77">
          <cell r="C77">
            <v>86</v>
          </cell>
          <cell r="D77" t="str">
            <v>F</v>
          </cell>
          <cell r="E77">
            <v>49</v>
          </cell>
          <cell r="F77">
            <v>15.731</v>
          </cell>
          <cell r="G77">
            <v>17157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C78">
            <v>87</v>
          </cell>
          <cell r="D78" t="str">
            <v>M</v>
          </cell>
          <cell r="E78">
            <v>48</v>
          </cell>
          <cell r="F78">
            <v>14.814</v>
          </cell>
          <cell r="G78">
            <v>23388</v>
          </cell>
          <cell r="H78">
            <v>173237</v>
          </cell>
          <cell r="I78">
            <v>98404</v>
          </cell>
          <cell r="J78">
            <v>98404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6562</v>
          </cell>
        </row>
        <row r="79">
          <cell r="C79">
            <v>88</v>
          </cell>
          <cell r="D79" t="str">
            <v>F</v>
          </cell>
          <cell r="E79">
            <v>47</v>
          </cell>
          <cell r="F79">
            <v>8.2129999999999992</v>
          </cell>
          <cell r="G79">
            <v>20200</v>
          </cell>
          <cell r="H79">
            <v>82957</v>
          </cell>
          <cell r="I79">
            <v>46258</v>
          </cell>
          <cell r="J79">
            <v>46258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5564</v>
          </cell>
        </row>
        <row r="80">
          <cell r="C80">
            <v>90</v>
          </cell>
          <cell r="D80" t="str">
            <v>F</v>
          </cell>
          <cell r="E80">
            <v>42</v>
          </cell>
          <cell r="F80">
            <v>13.631</v>
          </cell>
          <cell r="G80">
            <v>20625</v>
          </cell>
          <cell r="H80">
            <v>114348</v>
          </cell>
          <cell r="I80">
            <v>105029</v>
          </cell>
          <cell r="J80">
            <v>105029</v>
          </cell>
          <cell r="K80">
            <v>100000</v>
          </cell>
          <cell r="L80">
            <v>100000</v>
          </cell>
          <cell r="M80">
            <v>0</v>
          </cell>
          <cell r="N80">
            <v>100000</v>
          </cell>
          <cell r="O80">
            <v>100000</v>
          </cell>
          <cell r="P80">
            <v>100000</v>
          </cell>
          <cell r="Q80">
            <v>0</v>
          </cell>
        </row>
        <row r="81">
          <cell r="C81">
            <v>91</v>
          </cell>
          <cell r="D81" t="str">
            <v>F</v>
          </cell>
          <cell r="E81">
            <v>42</v>
          </cell>
          <cell r="F81">
            <v>15.125999999999999</v>
          </cell>
          <cell r="G81">
            <v>10765</v>
          </cell>
          <cell r="H81">
            <v>162838</v>
          </cell>
          <cell r="I81">
            <v>108155</v>
          </cell>
          <cell r="J81">
            <v>108155</v>
          </cell>
          <cell r="K81">
            <v>71400</v>
          </cell>
          <cell r="L81">
            <v>71400</v>
          </cell>
          <cell r="M81">
            <v>0</v>
          </cell>
          <cell r="N81">
            <v>71400</v>
          </cell>
          <cell r="O81">
            <v>71400</v>
          </cell>
          <cell r="P81">
            <v>71400</v>
          </cell>
          <cell r="Q81">
            <v>7066</v>
          </cell>
        </row>
        <row r="82">
          <cell r="C82">
            <v>92</v>
          </cell>
          <cell r="D82" t="str">
            <v>M</v>
          </cell>
          <cell r="E82">
            <v>51</v>
          </cell>
          <cell r="F82">
            <v>8.1969999999999992</v>
          </cell>
          <cell r="G82">
            <v>10287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C83">
            <v>93</v>
          </cell>
          <cell r="D83" t="str">
            <v>F</v>
          </cell>
          <cell r="E83">
            <v>51</v>
          </cell>
          <cell r="F83">
            <v>9.6750000000000007</v>
          </cell>
          <cell r="G83">
            <v>8857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C84">
            <v>94</v>
          </cell>
          <cell r="D84" t="str">
            <v>F</v>
          </cell>
          <cell r="E84">
            <v>50</v>
          </cell>
          <cell r="F84">
            <v>19.167000000000002</v>
          </cell>
          <cell r="G84">
            <v>11700</v>
          </cell>
          <cell r="H84">
            <v>224262</v>
          </cell>
          <cell r="I84">
            <v>210536</v>
          </cell>
          <cell r="J84">
            <v>210536</v>
          </cell>
          <cell r="K84">
            <v>204000</v>
          </cell>
          <cell r="L84">
            <v>204000</v>
          </cell>
          <cell r="M84">
            <v>0</v>
          </cell>
          <cell r="N84">
            <v>204000</v>
          </cell>
          <cell r="O84">
            <v>204000</v>
          </cell>
          <cell r="P84">
            <v>204000</v>
          </cell>
          <cell r="Q84">
            <v>10851</v>
          </cell>
        </row>
        <row r="85">
          <cell r="C85">
            <v>95</v>
          </cell>
          <cell r="D85" t="str">
            <v>F</v>
          </cell>
          <cell r="E85">
            <v>43</v>
          </cell>
          <cell r="F85">
            <v>7.9119999999999999</v>
          </cell>
          <cell r="G85">
            <v>13400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96</v>
          </cell>
          <cell r="D86" t="str">
            <v>M</v>
          </cell>
          <cell r="E86">
            <v>43</v>
          </cell>
          <cell r="F86">
            <v>9.0920000000000005</v>
          </cell>
          <cell r="G86">
            <v>18075</v>
          </cell>
          <cell r="H86">
            <v>82173</v>
          </cell>
          <cell r="I86">
            <v>35829</v>
          </cell>
          <cell r="J86">
            <v>35829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3894</v>
          </cell>
        </row>
        <row r="87">
          <cell r="C87">
            <v>97</v>
          </cell>
          <cell r="D87" t="str">
            <v>M</v>
          </cell>
          <cell r="E87">
            <v>43</v>
          </cell>
          <cell r="F87">
            <v>9.1959999999999997</v>
          </cell>
          <cell r="G87">
            <v>14080</v>
          </cell>
          <cell r="H87">
            <v>64743</v>
          </cell>
          <cell r="I87">
            <v>28249</v>
          </cell>
          <cell r="J87">
            <v>28249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3036</v>
          </cell>
        </row>
        <row r="88">
          <cell r="C88">
            <v>98</v>
          </cell>
          <cell r="D88" t="str">
            <v>F</v>
          </cell>
          <cell r="E88">
            <v>45</v>
          </cell>
          <cell r="F88">
            <v>18.696000000000002</v>
          </cell>
          <cell r="G88">
            <v>18653</v>
          </cell>
          <cell r="H88">
            <v>348751</v>
          </cell>
          <cell r="I88">
            <v>215040</v>
          </cell>
          <cell r="J88">
            <v>215040</v>
          </cell>
          <cell r="K88">
            <v>71400</v>
          </cell>
          <cell r="L88">
            <v>71400</v>
          </cell>
          <cell r="M88">
            <v>0</v>
          </cell>
          <cell r="N88">
            <v>71400</v>
          </cell>
          <cell r="O88">
            <v>71400</v>
          </cell>
          <cell r="P88">
            <v>71400</v>
          </cell>
          <cell r="Q88">
            <v>11367</v>
          </cell>
        </row>
        <row r="89">
          <cell r="C89">
            <v>99</v>
          </cell>
          <cell r="D89" t="str">
            <v>F</v>
          </cell>
          <cell r="E89">
            <v>63</v>
          </cell>
          <cell r="F89">
            <v>20.042999999999999</v>
          </cell>
          <cell r="G89">
            <v>22389</v>
          </cell>
          <cell r="H89">
            <v>448756</v>
          </cell>
          <cell r="I89">
            <v>430056</v>
          </cell>
          <cell r="J89">
            <v>430056</v>
          </cell>
          <cell r="K89">
            <v>306000</v>
          </cell>
          <cell r="L89">
            <v>306000</v>
          </cell>
          <cell r="M89">
            <v>0</v>
          </cell>
          <cell r="N89">
            <v>306000</v>
          </cell>
          <cell r="O89">
            <v>306000</v>
          </cell>
          <cell r="P89">
            <v>306000</v>
          </cell>
          <cell r="Q89">
            <v>21264</v>
          </cell>
        </row>
        <row r="90">
          <cell r="C90">
            <v>100</v>
          </cell>
          <cell r="D90" t="str">
            <v>M</v>
          </cell>
          <cell r="E90">
            <v>63</v>
          </cell>
          <cell r="F90">
            <v>8.7219999999999995</v>
          </cell>
          <cell r="G90">
            <v>35500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C91">
            <v>101</v>
          </cell>
          <cell r="D91" t="str">
            <v>F</v>
          </cell>
          <cell r="E91">
            <v>44</v>
          </cell>
          <cell r="F91">
            <v>18.488</v>
          </cell>
          <cell r="G91">
            <v>24981</v>
          </cell>
          <cell r="H91">
            <v>195199</v>
          </cell>
          <cell r="I91">
            <v>166915</v>
          </cell>
          <cell r="J91">
            <v>166915</v>
          </cell>
          <cell r="K91">
            <v>150000</v>
          </cell>
          <cell r="L91">
            <v>150000</v>
          </cell>
          <cell r="M91">
            <v>0</v>
          </cell>
          <cell r="N91">
            <v>150000</v>
          </cell>
          <cell r="O91">
            <v>150000</v>
          </cell>
          <cell r="P91">
            <v>150000</v>
          </cell>
          <cell r="Q91">
            <v>0</v>
          </cell>
        </row>
        <row r="92">
          <cell r="C92">
            <v>102</v>
          </cell>
          <cell r="D92" t="str">
            <v>M</v>
          </cell>
          <cell r="E92">
            <v>39</v>
          </cell>
          <cell r="F92">
            <v>8.58</v>
          </cell>
          <cell r="G92">
            <v>17225</v>
          </cell>
          <cell r="H92">
            <v>73899</v>
          </cell>
          <cell r="I92">
            <v>32263</v>
          </cell>
          <cell r="J92">
            <v>32263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3716</v>
          </cell>
        </row>
        <row r="93">
          <cell r="C93">
            <v>103</v>
          </cell>
          <cell r="D93" t="str">
            <v>M</v>
          </cell>
          <cell r="E93">
            <v>38</v>
          </cell>
          <cell r="F93">
            <v>8.5419999999999998</v>
          </cell>
          <cell r="G93">
            <v>21634</v>
          </cell>
          <cell r="H93">
            <v>92401</v>
          </cell>
          <cell r="I93">
            <v>42591</v>
          </cell>
          <cell r="J93">
            <v>42591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4928</v>
          </cell>
        </row>
        <row r="94">
          <cell r="C94">
            <v>104</v>
          </cell>
          <cell r="D94" t="str">
            <v>M</v>
          </cell>
          <cell r="E94">
            <v>37</v>
          </cell>
          <cell r="F94">
            <v>8.3360000000000003</v>
          </cell>
          <cell r="G94">
            <v>11275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105</v>
          </cell>
          <cell r="D95" t="str">
            <v>M</v>
          </cell>
          <cell r="E95">
            <v>38</v>
          </cell>
          <cell r="F95">
            <v>8.9879999999999995</v>
          </cell>
          <cell r="G95">
            <v>13267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106</v>
          </cell>
          <cell r="D96" t="str">
            <v>F</v>
          </cell>
          <cell r="E96">
            <v>38</v>
          </cell>
          <cell r="F96">
            <v>8.9169999999999998</v>
          </cell>
          <cell r="G96">
            <v>18075</v>
          </cell>
          <cell r="H96">
            <v>80589</v>
          </cell>
          <cell r="I96">
            <v>36190</v>
          </cell>
          <cell r="J96">
            <v>36190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4011</v>
          </cell>
        </row>
        <row r="97">
          <cell r="C97">
            <v>107</v>
          </cell>
          <cell r="D97" t="str">
            <v>M</v>
          </cell>
          <cell r="E97">
            <v>32</v>
          </cell>
          <cell r="F97">
            <v>9.2149999999999999</v>
          </cell>
          <cell r="G97">
            <v>20200</v>
          </cell>
          <cell r="H97">
            <v>93078</v>
          </cell>
          <cell r="I97">
            <v>45235</v>
          </cell>
          <cell r="J97">
            <v>45235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4853</v>
          </cell>
        </row>
        <row r="98">
          <cell r="C98">
            <v>108</v>
          </cell>
          <cell r="D98" t="str">
            <v>F</v>
          </cell>
          <cell r="E98">
            <v>58</v>
          </cell>
          <cell r="F98">
            <v>14.923999999999999</v>
          </cell>
          <cell r="G98">
            <v>22325</v>
          </cell>
          <cell r="H98">
            <v>166589</v>
          </cell>
          <cell r="I98">
            <v>123802</v>
          </cell>
          <cell r="J98">
            <v>123802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8202</v>
          </cell>
        </row>
        <row r="99">
          <cell r="C99">
            <v>109</v>
          </cell>
          <cell r="D99" t="str">
            <v>M</v>
          </cell>
          <cell r="E99">
            <v>49</v>
          </cell>
          <cell r="F99">
            <v>8.5220000000000002</v>
          </cell>
          <cell r="G99">
            <v>20041</v>
          </cell>
          <cell r="H99">
            <v>85402</v>
          </cell>
          <cell r="I99">
            <v>43811</v>
          </cell>
          <cell r="J99">
            <v>43811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5076</v>
          </cell>
        </row>
        <row r="100">
          <cell r="C100">
            <v>110</v>
          </cell>
          <cell r="D100" t="str">
            <v>F</v>
          </cell>
          <cell r="E100">
            <v>56</v>
          </cell>
          <cell r="F100">
            <v>8.7929999999999993</v>
          </cell>
          <cell r="G100">
            <v>24875</v>
          </cell>
          <cell r="H100">
            <v>109375</v>
          </cell>
          <cell r="I100">
            <v>74170</v>
          </cell>
          <cell r="J100">
            <v>74170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8339</v>
          </cell>
        </row>
        <row r="101">
          <cell r="C101">
            <v>111</v>
          </cell>
          <cell r="D101" t="str">
            <v>F</v>
          </cell>
          <cell r="E101">
            <v>61</v>
          </cell>
          <cell r="F101">
            <v>22.253</v>
          </cell>
          <cell r="G101">
            <v>22750</v>
          </cell>
          <cell r="H101">
            <v>506261</v>
          </cell>
          <cell r="I101">
            <v>498797</v>
          </cell>
          <cell r="J101">
            <v>498797</v>
          </cell>
          <cell r="K101">
            <v>408000</v>
          </cell>
          <cell r="L101">
            <v>408000</v>
          </cell>
          <cell r="M101">
            <v>0</v>
          </cell>
          <cell r="N101">
            <v>408000</v>
          </cell>
          <cell r="O101">
            <v>408000</v>
          </cell>
          <cell r="P101">
            <v>408000</v>
          </cell>
          <cell r="Q101">
            <v>22195</v>
          </cell>
        </row>
        <row r="102">
          <cell r="C102">
            <v>112</v>
          </cell>
          <cell r="D102" t="str">
            <v>M</v>
          </cell>
          <cell r="E102">
            <v>52</v>
          </cell>
          <cell r="F102">
            <v>19.811</v>
          </cell>
          <cell r="G102">
            <v>20010</v>
          </cell>
          <cell r="H102">
            <v>396416</v>
          </cell>
          <cell r="I102">
            <v>362196</v>
          </cell>
          <cell r="J102">
            <v>362196</v>
          </cell>
          <cell r="K102">
            <v>275400</v>
          </cell>
          <cell r="L102">
            <v>275400</v>
          </cell>
          <cell r="M102">
            <v>0</v>
          </cell>
          <cell r="N102">
            <v>275400</v>
          </cell>
          <cell r="O102">
            <v>275400</v>
          </cell>
          <cell r="P102">
            <v>275400</v>
          </cell>
          <cell r="Q102">
            <v>18055</v>
          </cell>
        </row>
        <row r="103">
          <cell r="C103">
            <v>113</v>
          </cell>
          <cell r="D103" t="str">
            <v>M</v>
          </cell>
          <cell r="E103">
            <v>37</v>
          </cell>
          <cell r="F103">
            <v>9.0540000000000003</v>
          </cell>
          <cell r="G103">
            <v>19775</v>
          </cell>
          <cell r="H103">
            <v>89522</v>
          </cell>
          <cell r="I103">
            <v>40965</v>
          </cell>
          <cell r="J103">
            <v>40965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4471</v>
          </cell>
        </row>
        <row r="104">
          <cell r="C104">
            <v>115</v>
          </cell>
          <cell r="D104" t="str">
            <v>F</v>
          </cell>
          <cell r="E104">
            <v>55</v>
          </cell>
          <cell r="F104">
            <v>21.727</v>
          </cell>
          <cell r="G104">
            <v>14356</v>
          </cell>
          <cell r="H104">
            <v>311927</v>
          </cell>
          <cell r="I104">
            <v>275272</v>
          </cell>
          <cell r="J104">
            <v>275272</v>
          </cell>
          <cell r="K104">
            <v>132600</v>
          </cell>
          <cell r="L104">
            <v>132600</v>
          </cell>
          <cell r="M104">
            <v>0</v>
          </cell>
          <cell r="N104">
            <v>132600</v>
          </cell>
          <cell r="O104">
            <v>132600</v>
          </cell>
          <cell r="P104">
            <v>132600</v>
          </cell>
          <cell r="Q104">
            <v>12521</v>
          </cell>
        </row>
        <row r="105">
          <cell r="C105">
            <v>116</v>
          </cell>
          <cell r="D105" t="str">
            <v>F</v>
          </cell>
          <cell r="E105">
            <v>53</v>
          </cell>
          <cell r="F105">
            <v>9.6750000000000007</v>
          </cell>
          <cell r="G105">
            <v>23600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C106">
            <v>117</v>
          </cell>
          <cell r="D106" t="str">
            <v>F</v>
          </cell>
          <cell r="E106">
            <v>62</v>
          </cell>
          <cell r="F106">
            <v>20.988</v>
          </cell>
          <cell r="G106">
            <v>19456</v>
          </cell>
          <cell r="H106">
            <v>408355</v>
          </cell>
          <cell r="I106">
            <v>385410</v>
          </cell>
          <cell r="J106">
            <v>385410</v>
          </cell>
          <cell r="K106">
            <v>168714</v>
          </cell>
          <cell r="L106">
            <v>168714</v>
          </cell>
          <cell r="M106">
            <v>0</v>
          </cell>
          <cell r="N106">
            <v>168714</v>
          </cell>
          <cell r="O106">
            <v>168714</v>
          </cell>
          <cell r="P106">
            <v>168714</v>
          </cell>
          <cell r="Q106">
            <v>18199</v>
          </cell>
        </row>
        <row r="107">
          <cell r="C107">
            <v>118</v>
          </cell>
          <cell r="D107" t="str">
            <v>F</v>
          </cell>
          <cell r="E107">
            <v>63</v>
          </cell>
          <cell r="F107">
            <v>18.321000000000002</v>
          </cell>
          <cell r="G107">
            <v>13655</v>
          </cell>
          <cell r="H107">
            <v>250183</v>
          </cell>
          <cell r="I107">
            <v>251500</v>
          </cell>
          <cell r="J107">
            <v>251500</v>
          </cell>
          <cell r="K107">
            <v>160070</v>
          </cell>
          <cell r="L107">
            <v>160070</v>
          </cell>
          <cell r="M107">
            <v>0</v>
          </cell>
          <cell r="N107">
            <v>160070</v>
          </cell>
          <cell r="O107">
            <v>160070</v>
          </cell>
          <cell r="P107">
            <v>160070</v>
          </cell>
          <cell r="Q107">
            <v>13604</v>
          </cell>
        </row>
        <row r="108">
          <cell r="C108">
            <v>119</v>
          </cell>
          <cell r="D108" t="str">
            <v>M</v>
          </cell>
          <cell r="E108">
            <v>63</v>
          </cell>
          <cell r="F108">
            <v>20.135999999999999</v>
          </cell>
          <cell r="G108">
            <v>17544</v>
          </cell>
          <cell r="H108">
            <v>353277</v>
          </cell>
          <cell r="I108">
            <v>303837</v>
          </cell>
          <cell r="J108">
            <v>303837</v>
          </cell>
          <cell r="K108">
            <v>56701</v>
          </cell>
          <cell r="L108">
            <v>56701</v>
          </cell>
          <cell r="M108">
            <v>0</v>
          </cell>
          <cell r="N108">
            <v>56701</v>
          </cell>
          <cell r="O108">
            <v>56701</v>
          </cell>
          <cell r="P108">
            <v>56701</v>
          </cell>
          <cell r="Q108">
            <v>14932</v>
          </cell>
        </row>
        <row r="109">
          <cell r="C109">
            <v>120</v>
          </cell>
          <cell r="D109" t="str">
            <v>M</v>
          </cell>
          <cell r="E109">
            <v>51</v>
          </cell>
          <cell r="F109">
            <v>16.475999999999999</v>
          </cell>
          <cell r="G109">
            <v>18075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121</v>
          </cell>
          <cell r="D110" t="str">
            <v>M</v>
          </cell>
          <cell r="E110">
            <v>57</v>
          </cell>
          <cell r="F110">
            <v>8.09</v>
          </cell>
          <cell r="G110">
            <v>23388</v>
          </cell>
          <cell r="H110">
            <v>94607</v>
          </cell>
          <cell r="I110">
            <v>61201</v>
          </cell>
          <cell r="J110">
            <v>61201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7473</v>
          </cell>
        </row>
        <row r="111">
          <cell r="C111">
            <v>122</v>
          </cell>
          <cell r="D111" t="str">
            <v>M</v>
          </cell>
          <cell r="E111">
            <v>62</v>
          </cell>
          <cell r="F111">
            <v>22.253</v>
          </cell>
          <cell r="G111">
            <v>22325</v>
          </cell>
          <cell r="H111">
            <v>496804</v>
          </cell>
          <cell r="I111">
            <v>486097</v>
          </cell>
          <cell r="J111">
            <v>486097</v>
          </cell>
          <cell r="K111">
            <v>334302</v>
          </cell>
          <cell r="L111">
            <v>334302</v>
          </cell>
          <cell r="M111">
            <v>0</v>
          </cell>
          <cell r="N111">
            <v>334302</v>
          </cell>
          <cell r="O111">
            <v>334302</v>
          </cell>
          <cell r="P111">
            <v>334302</v>
          </cell>
          <cell r="Q111">
            <v>21606</v>
          </cell>
        </row>
        <row r="112">
          <cell r="C112">
            <v>123</v>
          </cell>
          <cell r="D112" t="str">
            <v>M</v>
          </cell>
          <cell r="E112">
            <v>33</v>
          </cell>
          <cell r="F112">
            <v>8.1609999999999996</v>
          </cell>
          <cell r="G112">
            <v>7875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>
            <v>124</v>
          </cell>
          <cell r="D113" t="str">
            <v>M</v>
          </cell>
          <cell r="E113">
            <v>41</v>
          </cell>
          <cell r="F113">
            <v>12.757999999999999</v>
          </cell>
          <cell r="G113">
            <v>5750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>
            <v>125</v>
          </cell>
          <cell r="D114" t="str">
            <v>F</v>
          </cell>
          <cell r="E114">
            <v>47</v>
          </cell>
          <cell r="F114">
            <v>12.417999999999999</v>
          </cell>
          <cell r="G114">
            <v>5750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126</v>
          </cell>
          <cell r="D115" t="str">
            <v>F</v>
          </cell>
          <cell r="E115">
            <v>61</v>
          </cell>
          <cell r="F115">
            <v>10.598000000000001</v>
          </cell>
          <cell r="G115">
            <v>6706</v>
          </cell>
          <cell r="H115">
            <v>71074</v>
          </cell>
          <cell r="I115">
            <v>69851</v>
          </cell>
          <cell r="J115">
            <v>69851</v>
          </cell>
          <cell r="K115">
            <v>16958</v>
          </cell>
          <cell r="L115">
            <v>16958</v>
          </cell>
          <cell r="M115">
            <v>0</v>
          </cell>
          <cell r="N115">
            <v>16958</v>
          </cell>
          <cell r="O115">
            <v>16958</v>
          </cell>
          <cell r="P115">
            <v>16958</v>
          </cell>
          <cell r="Q115">
            <v>6522</v>
          </cell>
        </row>
        <row r="116">
          <cell r="C116">
            <v>129</v>
          </cell>
          <cell r="D116" t="str">
            <v>M</v>
          </cell>
          <cell r="E116">
            <v>60</v>
          </cell>
          <cell r="F116">
            <v>11.039</v>
          </cell>
          <cell r="G116">
            <v>7450</v>
          </cell>
          <cell r="H116">
            <v>82241</v>
          </cell>
          <cell r="I116">
            <v>74606</v>
          </cell>
          <cell r="J116">
            <v>74606</v>
          </cell>
          <cell r="K116">
            <v>19854</v>
          </cell>
          <cell r="L116">
            <v>19854</v>
          </cell>
          <cell r="M116">
            <v>0</v>
          </cell>
          <cell r="N116">
            <v>19854</v>
          </cell>
          <cell r="O116">
            <v>19854</v>
          </cell>
          <cell r="P116">
            <v>19854</v>
          </cell>
          <cell r="Q116">
            <v>6682</v>
          </cell>
        </row>
        <row r="117">
          <cell r="C117">
            <v>130</v>
          </cell>
          <cell r="D117" t="str">
            <v>F</v>
          </cell>
          <cell r="E117">
            <v>51</v>
          </cell>
          <cell r="F117">
            <v>11.419</v>
          </cell>
          <cell r="G117">
            <v>7716</v>
          </cell>
          <cell r="H117">
            <v>88109</v>
          </cell>
          <cell r="I117">
            <v>67299</v>
          </cell>
          <cell r="J117">
            <v>67299</v>
          </cell>
          <cell r="K117">
            <v>20322</v>
          </cell>
          <cell r="L117">
            <v>20322</v>
          </cell>
          <cell r="M117">
            <v>0</v>
          </cell>
          <cell r="N117">
            <v>20322</v>
          </cell>
          <cell r="O117">
            <v>20322</v>
          </cell>
          <cell r="P117">
            <v>20322</v>
          </cell>
          <cell r="Q117">
            <v>5822</v>
          </cell>
        </row>
        <row r="118">
          <cell r="C118">
            <v>131</v>
          </cell>
          <cell r="D118" t="str">
            <v>F</v>
          </cell>
          <cell r="E118">
            <v>46</v>
          </cell>
          <cell r="F118">
            <v>11.419</v>
          </cell>
          <cell r="G118">
            <v>14888</v>
          </cell>
          <cell r="H118">
            <v>85004</v>
          </cell>
          <cell r="I118">
            <v>39824</v>
          </cell>
          <cell r="J118">
            <v>39824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3445</v>
          </cell>
        </row>
        <row r="119">
          <cell r="C119">
            <v>132</v>
          </cell>
          <cell r="D119" t="str">
            <v>F</v>
          </cell>
          <cell r="E119">
            <v>40</v>
          </cell>
          <cell r="F119">
            <v>11.419</v>
          </cell>
          <cell r="G119">
            <v>7238</v>
          </cell>
          <cell r="H119">
            <v>82649</v>
          </cell>
          <cell r="I119">
            <v>45426</v>
          </cell>
          <cell r="J119">
            <v>45426</v>
          </cell>
          <cell r="K119">
            <v>19166</v>
          </cell>
          <cell r="L119">
            <v>19166</v>
          </cell>
          <cell r="M119">
            <v>0</v>
          </cell>
          <cell r="N119">
            <v>19166</v>
          </cell>
          <cell r="O119">
            <v>19166</v>
          </cell>
          <cell r="P119">
            <v>19166</v>
          </cell>
          <cell r="Q119">
            <v>3931</v>
          </cell>
        </row>
        <row r="120">
          <cell r="C120">
            <v>133</v>
          </cell>
          <cell r="D120" t="str">
            <v>M</v>
          </cell>
          <cell r="E120">
            <v>53</v>
          </cell>
          <cell r="F120">
            <v>10.936999999999999</v>
          </cell>
          <cell r="G120">
            <v>15950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>
            <v>134</v>
          </cell>
          <cell r="D121" t="str">
            <v>F</v>
          </cell>
          <cell r="E121">
            <v>50</v>
          </cell>
          <cell r="F121">
            <v>11.419</v>
          </cell>
          <cell r="G121">
            <v>7238</v>
          </cell>
          <cell r="H121">
            <v>82649</v>
          </cell>
          <cell r="I121">
            <v>55218</v>
          </cell>
          <cell r="J121">
            <v>55218</v>
          </cell>
          <cell r="K121">
            <v>25754</v>
          </cell>
          <cell r="L121">
            <v>25754</v>
          </cell>
          <cell r="M121">
            <v>0</v>
          </cell>
          <cell r="N121">
            <v>25754</v>
          </cell>
          <cell r="O121">
            <v>25754</v>
          </cell>
          <cell r="P121">
            <v>25754</v>
          </cell>
          <cell r="Q121">
            <v>4777</v>
          </cell>
        </row>
        <row r="122">
          <cell r="C122">
            <v>135</v>
          </cell>
          <cell r="D122" t="str">
            <v>F</v>
          </cell>
          <cell r="E122">
            <v>37</v>
          </cell>
          <cell r="F122">
            <v>11.419</v>
          </cell>
          <cell r="G122">
            <v>11700</v>
          </cell>
          <cell r="H122">
            <v>133609</v>
          </cell>
          <cell r="I122">
            <v>82124</v>
          </cell>
          <cell r="J122">
            <v>82124</v>
          </cell>
          <cell r="K122">
            <v>36755</v>
          </cell>
          <cell r="L122">
            <v>36755</v>
          </cell>
          <cell r="M122">
            <v>0</v>
          </cell>
          <cell r="N122">
            <v>36755</v>
          </cell>
          <cell r="O122">
            <v>36755</v>
          </cell>
          <cell r="P122">
            <v>36755</v>
          </cell>
          <cell r="Q122">
            <v>7107</v>
          </cell>
        </row>
        <row r="123">
          <cell r="C123">
            <v>136</v>
          </cell>
          <cell r="D123" t="str">
            <v>F</v>
          </cell>
          <cell r="E123">
            <v>46</v>
          </cell>
          <cell r="F123">
            <v>11.419</v>
          </cell>
          <cell r="G123">
            <v>7556</v>
          </cell>
          <cell r="H123">
            <v>86289</v>
          </cell>
          <cell r="I123">
            <v>49455</v>
          </cell>
          <cell r="J123">
            <v>49455</v>
          </cell>
          <cell r="K123">
            <v>18970</v>
          </cell>
          <cell r="L123">
            <v>18970</v>
          </cell>
          <cell r="M123">
            <v>0</v>
          </cell>
          <cell r="N123">
            <v>18970</v>
          </cell>
          <cell r="O123">
            <v>18970</v>
          </cell>
          <cell r="P123">
            <v>18970</v>
          </cell>
          <cell r="Q123">
            <v>4278</v>
          </cell>
        </row>
        <row r="124">
          <cell r="C124">
            <v>137</v>
          </cell>
          <cell r="D124" t="str">
            <v>M</v>
          </cell>
          <cell r="E124">
            <v>59</v>
          </cell>
          <cell r="F124">
            <v>11.419</v>
          </cell>
          <cell r="G124">
            <v>11142</v>
          </cell>
          <cell r="H124">
            <v>127239</v>
          </cell>
          <cell r="I124">
            <v>100103</v>
          </cell>
          <cell r="J124">
            <v>100103</v>
          </cell>
          <cell r="K124">
            <v>49254</v>
          </cell>
          <cell r="L124">
            <v>49254</v>
          </cell>
          <cell r="M124">
            <v>0</v>
          </cell>
          <cell r="N124">
            <v>49254</v>
          </cell>
          <cell r="O124">
            <v>49254</v>
          </cell>
          <cell r="P124">
            <v>49254</v>
          </cell>
          <cell r="Q124">
            <v>8663</v>
          </cell>
        </row>
        <row r="125">
          <cell r="C125">
            <v>138</v>
          </cell>
          <cell r="D125" t="str">
            <v>M</v>
          </cell>
          <cell r="E125">
            <v>55</v>
          </cell>
          <cell r="F125">
            <v>9.6039999999999992</v>
          </cell>
          <cell r="G125">
            <v>23919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139</v>
          </cell>
          <cell r="D126" t="str">
            <v>M</v>
          </cell>
          <cell r="E126">
            <v>49</v>
          </cell>
          <cell r="F126">
            <v>11.419</v>
          </cell>
          <cell r="G126">
            <v>11700</v>
          </cell>
          <cell r="H126">
            <v>66805</v>
          </cell>
          <cell r="I126">
            <v>34384</v>
          </cell>
          <cell r="J126">
            <v>34384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2974</v>
          </cell>
        </row>
        <row r="127">
          <cell r="C127">
            <v>140</v>
          </cell>
          <cell r="D127" t="str">
            <v>F</v>
          </cell>
          <cell r="E127">
            <v>48</v>
          </cell>
          <cell r="F127">
            <v>8.6180000000000003</v>
          </cell>
          <cell r="G127">
            <v>7663</v>
          </cell>
          <cell r="H127">
            <v>66041</v>
          </cell>
          <cell r="I127">
            <v>37826</v>
          </cell>
          <cell r="J127">
            <v>37826</v>
          </cell>
          <cell r="K127">
            <v>10720</v>
          </cell>
          <cell r="L127">
            <v>10720</v>
          </cell>
          <cell r="M127">
            <v>0</v>
          </cell>
          <cell r="N127">
            <v>10720</v>
          </cell>
          <cell r="O127">
            <v>10720</v>
          </cell>
          <cell r="P127">
            <v>10720</v>
          </cell>
          <cell r="Q127">
            <v>4336</v>
          </cell>
        </row>
        <row r="128">
          <cell r="C128">
            <v>142</v>
          </cell>
          <cell r="D128" t="str">
            <v>M</v>
          </cell>
          <cell r="E128">
            <v>56</v>
          </cell>
          <cell r="F128">
            <v>8.1170000000000009</v>
          </cell>
          <cell r="G128">
            <v>10638</v>
          </cell>
          <cell r="H128">
            <v>86352</v>
          </cell>
          <cell r="I128">
            <v>70602</v>
          </cell>
          <cell r="J128">
            <v>70602</v>
          </cell>
          <cell r="K128">
            <v>12065</v>
          </cell>
          <cell r="L128">
            <v>12065</v>
          </cell>
          <cell r="M128">
            <v>0</v>
          </cell>
          <cell r="N128">
            <v>12065</v>
          </cell>
          <cell r="O128">
            <v>12065</v>
          </cell>
          <cell r="P128">
            <v>12065</v>
          </cell>
          <cell r="Q128">
            <v>8592</v>
          </cell>
        </row>
        <row r="129">
          <cell r="C129">
            <v>143</v>
          </cell>
          <cell r="D129" t="str">
            <v>F</v>
          </cell>
          <cell r="E129">
            <v>45</v>
          </cell>
          <cell r="F129">
            <v>8.0519999999999996</v>
          </cell>
          <cell r="G129">
            <v>7025</v>
          </cell>
          <cell r="H129">
            <v>56565</v>
          </cell>
          <cell r="I129">
            <v>31385</v>
          </cell>
          <cell r="J129">
            <v>31385</v>
          </cell>
          <cell r="K129">
            <v>4441</v>
          </cell>
          <cell r="L129">
            <v>4441</v>
          </cell>
          <cell r="M129">
            <v>0</v>
          </cell>
          <cell r="N129">
            <v>4441</v>
          </cell>
          <cell r="O129">
            <v>4441</v>
          </cell>
          <cell r="P129">
            <v>4441</v>
          </cell>
          <cell r="Q129">
            <v>3852</v>
          </cell>
        </row>
        <row r="130">
          <cell r="C130">
            <v>144</v>
          </cell>
          <cell r="D130" t="str">
            <v>M</v>
          </cell>
          <cell r="E130">
            <v>43</v>
          </cell>
          <cell r="F130">
            <v>8.2509999999999994</v>
          </cell>
          <cell r="G130">
            <v>25475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C131">
            <v>146</v>
          </cell>
          <cell r="D131" t="str">
            <v>F</v>
          </cell>
          <cell r="E131">
            <v>34</v>
          </cell>
          <cell r="F131">
            <v>7.86</v>
          </cell>
          <cell r="G131">
            <v>10903</v>
          </cell>
          <cell r="H131">
            <v>85703</v>
          </cell>
          <cell r="I131">
            <v>46527</v>
          </cell>
          <cell r="J131">
            <v>46527</v>
          </cell>
          <cell r="K131">
            <v>11191</v>
          </cell>
          <cell r="L131">
            <v>11191</v>
          </cell>
          <cell r="M131">
            <v>0</v>
          </cell>
          <cell r="N131">
            <v>11191</v>
          </cell>
          <cell r="O131">
            <v>11191</v>
          </cell>
          <cell r="P131">
            <v>11191</v>
          </cell>
          <cell r="Q131">
            <v>5852</v>
          </cell>
        </row>
        <row r="132">
          <cell r="C132">
            <v>147</v>
          </cell>
          <cell r="D132" t="str">
            <v>M</v>
          </cell>
          <cell r="E132">
            <v>42</v>
          </cell>
          <cell r="F132">
            <v>8</v>
          </cell>
          <cell r="G132">
            <v>12231</v>
          </cell>
          <cell r="H132">
            <v>97850</v>
          </cell>
          <cell r="I132">
            <v>51845</v>
          </cell>
          <cell r="J132">
            <v>51845</v>
          </cell>
          <cell r="K132">
            <v>12727</v>
          </cell>
          <cell r="L132">
            <v>12727</v>
          </cell>
          <cell r="M132">
            <v>0</v>
          </cell>
          <cell r="N132">
            <v>12727</v>
          </cell>
          <cell r="O132">
            <v>12727</v>
          </cell>
          <cell r="P132">
            <v>12727</v>
          </cell>
          <cell r="Q132">
            <v>6405</v>
          </cell>
        </row>
        <row r="133">
          <cell r="C133">
            <v>148</v>
          </cell>
          <cell r="D133" t="str">
            <v>M</v>
          </cell>
          <cell r="E133">
            <v>46</v>
          </cell>
          <cell r="F133">
            <v>7.98</v>
          </cell>
          <cell r="G133">
            <v>9575</v>
          </cell>
          <cell r="H133">
            <v>76416</v>
          </cell>
          <cell r="I133">
            <v>44649</v>
          </cell>
          <cell r="J133">
            <v>44649</v>
          </cell>
          <cell r="K133">
            <v>10563</v>
          </cell>
          <cell r="L133">
            <v>10563</v>
          </cell>
          <cell r="M133">
            <v>0</v>
          </cell>
          <cell r="N133">
            <v>10563</v>
          </cell>
          <cell r="O133">
            <v>10563</v>
          </cell>
          <cell r="P133">
            <v>10563</v>
          </cell>
          <cell r="Q133">
            <v>5527</v>
          </cell>
        </row>
        <row r="134">
          <cell r="C134">
            <v>149</v>
          </cell>
          <cell r="D134" t="str">
            <v>F</v>
          </cell>
          <cell r="E134">
            <v>40</v>
          </cell>
          <cell r="F134">
            <v>7.8819999999999997</v>
          </cell>
          <cell r="G134">
            <v>6813</v>
          </cell>
          <cell r="H134">
            <v>53698</v>
          </cell>
          <cell r="I134">
            <v>26319</v>
          </cell>
          <cell r="J134">
            <v>26319</v>
          </cell>
          <cell r="K134">
            <v>6543</v>
          </cell>
          <cell r="L134">
            <v>6543</v>
          </cell>
          <cell r="M134">
            <v>0</v>
          </cell>
          <cell r="N134">
            <v>6543</v>
          </cell>
          <cell r="O134">
            <v>6543</v>
          </cell>
          <cell r="P134">
            <v>6543</v>
          </cell>
          <cell r="Q134">
            <v>3300</v>
          </cell>
        </row>
        <row r="135">
          <cell r="C135">
            <v>150</v>
          </cell>
          <cell r="D135" t="str">
            <v>F</v>
          </cell>
          <cell r="E135">
            <v>31</v>
          </cell>
          <cell r="F135">
            <v>7.8789999999999996</v>
          </cell>
          <cell r="G135">
            <v>7025</v>
          </cell>
          <cell r="H135">
            <v>55354</v>
          </cell>
          <cell r="I135">
            <v>30457</v>
          </cell>
          <cell r="J135">
            <v>30457</v>
          </cell>
          <cell r="K135">
            <v>6757</v>
          </cell>
          <cell r="L135">
            <v>6757</v>
          </cell>
          <cell r="M135">
            <v>0</v>
          </cell>
          <cell r="N135">
            <v>6757</v>
          </cell>
          <cell r="O135">
            <v>6757</v>
          </cell>
          <cell r="P135">
            <v>6757</v>
          </cell>
          <cell r="Q135">
            <v>3822</v>
          </cell>
        </row>
        <row r="136">
          <cell r="C136" t="str">
            <v>All</v>
          </cell>
          <cell r="G136">
            <v>1853323</v>
          </cell>
          <cell r="H136">
            <v>14874432</v>
          </cell>
          <cell r="I136">
            <v>11941290</v>
          </cell>
          <cell r="J136">
            <v>11941290</v>
          </cell>
          <cell r="K136">
            <v>7357628</v>
          </cell>
          <cell r="L136">
            <v>7357628</v>
          </cell>
          <cell r="M136">
            <v>0</v>
          </cell>
          <cell r="N136">
            <v>7357628</v>
          </cell>
          <cell r="O136">
            <v>7357628</v>
          </cell>
          <cell r="P136">
            <v>7357628</v>
          </cell>
          <cell r="Q136">
            <v>558227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3">
          <cell r="C23" t="str">
            <v>Unique Identity Number</v>
          </cell>
          <cell r="D23" t="str">
            <v>Gender</v>
          </cell>
          <cell r="E23" t="str">
            <v>Age</v>
          </cell>
          <cell r="F23" t="str">
            <v>Seniority in Yrs</v>
          </cell>
          <cell r="G23">
            <v>12868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86</v>
          </cell>
          <cell r="D24" t="str">
            <v>F</v>
          </cell>
          <cell r="E24">
            <v>48</v>
          </cell>
          <cell r="F24">
            <v>12.563000000000001</v>
          </cell>
        </row>
        <row r="25">
          <cell r="C25" t="str">
            <v>All</v>
          </cell>
          <cell r="G25">
            <v>12868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8">
          <cell r="C28" t="str">
            <v>Valuation Date 31DEC2024, Scenario=0,Prob Scenario=0,RFScenario=1,Inflation=0, Reporting Group B</v>
          </cell>
        </row>
        <row r="29">
          <cell r="G29" t="str">
            <v>Last Monthly Salary For Severance</v>
          </cell>
          <cell r="H29" t="str">
            <v>Pitzuim</v>
          </cell>
          <cell r="I29" t="str">
            <v>Salary Value</v>
          </cell>
          <cell r="J29" t="str">
            <v>Salary Value Final</v>
          </cell>
          <cell r="K29" t="str">
            <v>Severance Pay Fund</v>
          </cell>
          <cell r="L29" t="str">
            <v>Severance Pay Fund Value1</v>
          </cell>
          <cell r="M29" t="str">
            <v>Severance Pay Fund0</v>
          </cell>
          <cell r="N29" t="str">
            <v>Severance Pay Fund Value</v>
          </cell>
          <cell r="O29" t="str">
            <v>Severance Pay Fund Value Final</v>
          </cell>
          <cell r="P29" t="str">
            <v>Severance Pay Fund Value Final 2</v>
          </cell>
          <cell r="Q29" t="str">
            <v>Current Service Cost final</v>
          </cell>
        </row>
        <row r="30">
          <cell r="C30" t="str">
            <v>Unique Identity Number</v>
          </cell>
          <cell r="D30" t="str">
            <v>Gender</v>
          </cell>
          <cell r="E30" t="str">
            <v>Age</v>
          </cell>
          <cell r="F30" t="str">
            <v>Seniority in Yrs</v>
          </cell>
          <cell r="G30">
            <v>8775</v>
          </cell>
          <cell r="H30">
            <v>217865</v>
          </cell>
          <cell r="I30">
            <v>212941</v>
          </cell>
          <cell r="J30">
            <v>212941</v>
          </cell>
          <cell r="K30">
            <v>107100</v>
          </cell>
          <cell r="L30">
            <v>107100</v>
          </cell>
          <cell r="M30">
            <v>0</v>
          </cell>
          <cell r="N30">
            <v>107100</v>
          </cell>
          <cell r="O30">
            <v>107100</v>
          </cell>
          <cell r="P30">
            <v>107100</v>
          </cell>
          <cell r="Q30">
            <v>9342</v>
          </cell>
        </row>
        <row r="31">
          <cell r="C31">
            <v>4</v>
          </cell>
          <cell r="D31" t="str">
            <v>F</v>
          </cell>
          <cell r="E31">
            <v>61</v>
          </cell>
          <cell r="F31">
            <v>22.57</v>
          </cell>
        </row>
        <row r="32">
          <cell r="C32">
            <v>11</v>
          </cell>
          <cell r="D32" t="str">
            <v>M</v>
          </cell>
          <cell r="E32">
            <v>55</v>
          </cell>
          <cell r="F32">
            <v>22.42</v>
          </cell>
          <cell r="G32">
            <v>19134</v>
          </cell>
          <cell r="H32">
            <v>471897</v>
          </cell>
          <cell r="I32">
            <v>410336</v>
          </cell>
          <cell r="J32">
            <v>410336</v>
          </cell>
          <cell r="K32">
            <v>290700</v>
          </cell>
          <cell r="L32">
            <v>290700</v>
          </cell>
          <cell r="M32">
            <v>0</v>
          </cell>
          <cell r="N32">
            <v>290700</v>
          </cell>
          <cell r="O32">
            <v>290700</v>
          </cell>
          <cell r="P32">
            <v>290700</v>
          </cell>
          <cell r="Q32">
            <v>18081</v>
          </cell>
        </row>
        <row r="33">
          <cell r="C33">
            <v>13</v>
          </cell>
          <cell r="D33" t="str">
            <v>M</v>
          </cell>
          <cell r="E33">
            <v>55</v>
          </cell>
          <cell r="F33">
            <v>24.558</v>
          </cell>
          <cell r="G33">
            <v>20330</v>
          </cell>
          <cell r="H33">
            <v>0</v>
          </cell>
          <cell r="I33">
            <v>72222</v>
          </cell>
          <cell r="J33">
            <v>191250</v>
          </cell>
          <cell r="K33">
            <v>191250</v>
          </cell>
          <cell r="L33">
            <v>191250</v>
          </cell>
          <cell r="M33">
            <v>0</v>
          </cell>
          <cell r="N33">
            <v>191250</v>
          </cell>
          <cell r="O33">
            <v>191250</v>
          </cell>
          <cell r="P33">
            <v>191250</v>
          </cell>
          <cell r="Q33">
            <v>0</v>
          </cell>
        </row>
        <row r="34">
          <cell r="C34">
            <v>16</v>
          </cell>
          <cell r="D34" t="str">
            <v>F</v>
          </cell>
          <cell r="E34">
            <v>57</v>
          </cell>
          <cell r="F34">
            <v>23.591999999999999</v>
          </cell>
          <cell r="G34">
            <v>7978</v>
          </cell>
          <cell r="H34">
            <v>57972</v>
          </cell>
          <cell r="I34">
            <v>74440</v>
          </cell>
          <cell r="J34">
            <v>114750</v>
          </cell>
          <cell r="K34">
            <v>114750</v>
          </cell>
          <cell r="L34">
            <v>114750</v>
          </cell>
          <cell r="M34">
            <v>0</v>
          </cell>
          <cell r="N34">
            <v>114750</v>
          </cell>
          <cell r="O34">
            <v>114750</v>
          </cell>
          <cell r="P34">
            <v>114750</v>
          </cell>
          <cell r="Q34">
            <v>4809</v>
          </cell>
        </row>
        <row r="35">
          <cell r="C35">
            <v>17</v>
          </cell>
          <cell r="D35" t="str">
            <v>F</v>
          </cell>
          <cell r="E35">
            <v>57</v>
          </cell>
          <cell r="F35">
            <v>18.54</v>
          </cell>
          <cell r="G35">
            <v>14752</v>
          </cell>
          <cell r="H35">
            <v>84239</v>
          </cell>
          <cell r="I35">
            <v>62294</v>
          </cell>
          <cell r="J35">
            <v>62294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3322</v>
          </cell>
        </row>
        <row r="36">
          <cell r="C36">
            <v>21</v>
          </cell>
          <cell r="D36" t="str">
            <v>M</v>
          </cell>
          <cell r="E36">
            <v>56</v>
          </cell>
          <cell r="F36">
            <v>23.591999999999999</v>
          </cell>
          <cell r="G36">
            <v>16744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27</v>
          </cell>
          <cell r="D37" t="str">
            <v>M</v>
          </cell>
          <cell r="E37">
            <v>51</v>
          </cell>
          <cell r="F37">
            <v>18.54</v>
          </cell>
          <cell r="G37">
            <v>9572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32</v>
          </cell>
          <cell r="D38" t="str">
            <v>M</v>
          </cell>
          <cell r="E38">
            <v>43</v>
          </cell>
          <cell r="F38">
            <v>16.957999999999998</v>
          </cell>
          <cell r="G38">
            <v>14353</v>
          </cell>
          <cell r="H38">
            <v>267744</v>
          </cell>
          <cell r="I38">
            <v>184298</v>
          </cell>
          <cell r="J38">
            <v>184298</v>
          </cell>
          <cell r="K38">
            <v>137700</v>
          </cell>
          <cell r="L38">
            <v>137700</v>
          </cell>
          <cell r="M38">
            <v>0</v>
          </cell>
          <cell r="N38">
            <v>137700</v>
          </cell>
          <cell r="O38">
            <v>137700</v>
          </cell>
          <cell r="P38">
            <v>137700</v>
          </cell>
          <cell r="Q38">
            <v>10736</v>
          </cell>
        </row>
        <row r="39">
          <cell r="C39">
            <v>33</v>
          </cell>
          <cell r="D39" t="str">
            <v>F</v>
          </cell>
          <cell r="E39">
            <v>42</v>
          </cell>
          <cell r="F39">
            <v>17.507999999999999</v>
          </cell>
          <cell r="G39">
            <v>6125</v>
          </cell>
          <cell r="H39">
            <v>117971</v>
          </cell>
          <cell r="I39">
            <v>81510</v>
          </cell>
          <cell r="J39">
            <v>81510</v>
          </cell>
          <cell r="K39">
            <v>61200</v>
          </cell>
          <cell r="L39">
            <v>61200</v>
          </cell>
          <cell r="M39">
            <v>0</v>
          </cell>
          <cell r="N39">
            <v>61200</v>
          </cell>
          <cell r="O39">
            <v>61200</v>
          </cell>
          <cell r="P39">
            <v>61200</v>
          </cell>
          <cell r="Q39">
            <v>4599</v>
          </cell>
        </row>
        <row r="40">
          <cell r="C40">
            <v>34</v>
          </cell>
          <cell r="D40" t="str">
            <v>M</v>
          </cell>
          <cell r="E40">
            <v>49</v>
          </cell>
          <cell r="F40">
            <v>22.672000000000001</v>
          </cell>
          <cell r="G40">
            <v>21525</v>
          </cell>
          <cell r="H40">
            <v>0</v>
          </cell>
          <cell r="I40">
            <v>96645</v>
          </cell>
          <cell r="J40">
            <v>183600</v>
          </cell>
          <cell r="K40">
            <v>183600</v>
          </cell>
          <cell r="L40">
            <v>183600</v>
          </cell>
          <cell r="M40">
            <v>0</v>
          </cell>
          <cell r="N40">
            <v>183600</v>
          </cell>
          <cell r="O40">
            <v>183600</v>
          </cell>
          <cell r="P40">
            <v>183600</v>
          </cell>
          <cell r="Q40">
            <v>0</v>
          </cell>
        </row>
        <row r="41">
          <cell r="C41">
            <v>36</v>
          </cell>
          <cell r="D41" t="str">
            <v>M</v>
          </cell>
          <cell r="E41">
            <v>52</v>
          </cell>
          <cell r="F41">
            <v>15.167</v>
          </cell>
          <cell r="G41">
            <v>6384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37</v>
          </cell>
          <cell r="D42" t="str">
            <v>M</v>
          </cell>
          <cell r="E42">
            <v>52</v>
          </cell>
          <cell r="F42">
            <v>18.253</v>
          </cell>
          <cell r="G42">
            <v>13955</v>
          </cell>
          <cell r="H42">
            <v>0</v>
          </cell>
          <cell r="I42">
            <v>18294</v>
          </cell>
          <cell r="J42">
            <v>40000</v>
          </cell>
          <cell r="K42">
            <v>40000</v>
          </cell>
          <cell r="L42">
            <v>40000</v>
          </cell>
          <cell r="M42">
            <v>0</v>
          </cell>
          <cell r="N42">
            <v>40000</v>
          </cell>
          <cell r="O42">
            <v>40000</v>
          </cell>
          <cell r="P42">
            <v>40000</v>
          </cell>
          <cell r="Q42">
            <v>0</v>
          </cell>
        </row>
        <row r="43">
          <cell r="C43">
            <v>41</v>
          </cell>
          <cell r="D43" t="str">
            <v>F</v>
          </cell>
          <cell r="E43">
            <v>59</v>
          </cell>
          <cell r="F43">
            <v>23.334</v>
          </cell>
          <cell r="G43">
            <v>10209</v>
          </cell>
          <cell r="H43">
            <v>0</v>
          </cell>
          <cell r="I43">
            <v>10220</v>
          </cell>
          <cell r="J43">
            <v>61200</v>
          </cell>
          <cell r="K43">
            <v>61200</v>
          </cell>
          <cell r="L43">
            <v>61200</v>
          </cell>
          <cell r="M43">
            <v>0</v>
          </cell>
          <cell r="N43">
            <v>61200</v>
          </cell>
          <cell r="O43">
            <v>61200</v>
          </cell>
          <cell r="P43">
            <v>61200</v>
          </cell>
          <cell r="Q43">
            <v>0</v>
          </cell>
        </row>
        <row r="44">
          <cell r="C44">
            <v>46</v>
          </cell>
          <cell r="D44" t="str">
            <v>F</v>
          </cell>
          <cell r="E44">
            <v>59</v>
          </cell>
          <cell r="F44">
            <v>27.670999999999999</v>
          </cell>
          <cell r="G44">
            <v>11963</v>
          </cell>
          <cell r="H44">
            <v>364122</v>
          </cell>
          <cell r="I44">
            <v>348731</v>
          </cell>
          <cell r="J44">
            <v>348731</v>
          </cell>
          <cell r="K44">
            <v>267750</v>
          </cell>
          <cell r="L44">
            <v>267750</v>
          </cell>
          <cell r="M44">
            <v>0</v>
          </cell>
          <cell r="N44">
            <v>267750</v>
          </cell>
          <cell r="O44">
            <v>267750</v>
          </cell>
          <cell r="P44">
            <v>267750</v>
          </cell>
          <cell r="Q44">
            <v>12466</v>
          </cell>
        </row>
        <row r="45">
          <cell r="C45">
            <v>48</v>
          </cell>
          <cell r="D45" t="str">
            <v>F</v>
          </cell>
          <cell r="E45">
            <v>54</v>
          </cell>
          <cell r="F45">
            <v>25.838999999999999</v>
          </cell>
          <cell r="G45">
            <v>12122</v>
          </cell>
          <cell r="H45">
            <v>96474</v>
          </cell>
          <cell r="I45">
            <v>96439</v>
          </cell>
          <cell r="J45">
            <v>96439</v>
          </cell>
          <cell r="K45">
            <v>91800</v>
          </cell>
          <cell r="L45">
            <v>91800</v>
          </cell>
          <cell r="M45">
            <v>0</v>
          </cell>
          <cell r="N45">
            <v>91800</v>
          </cell>
          <cell r="O45">
            <v>91800</v>
          </cell>
          <cell r="P45">
            <v>91800</v>
          </cell>
          <cell r="Q45">
            <v>3688</v>
          </cell>
        </row>
        <row r="46">
          <cell r="C46">
            <v>72</v>
          </cell>
          <cell r="D46" t="str">
            <v>F</v>
          </cell>
          <cell r="E46">
            <v>55</v>
          </cell>
          <cell r="F46">
            <v>20.334</v>
          </cell>
          <cell r="G46">
            <v>26625</v>
          </cell>
          <cell r="H46">
            <v>595533</v>
          </cell>
          <cell r="I46">
            <v>525338</v>
          </cell>
          <cell r="J46">
            <v>525338</v>
          </cell>
          <cell r="K46">
            <v>382500</v>
          </cell>
          <cell r="L46">
            <v>382500</v>
          </cell>
          <cell r="M46">
            <v>0</v>
          </cell>
          <cell r="N46">
            <v>382500</v>
          </cell>
          <cell r="O46">
            <v>382500</v>
          </cell>
          <cell r="P46">
            <v>382500</v>
          </cell>
          <cell r="Q46">
            <v>25533</v>
          </cell>
        </row>
        <row r="47">
          <cell r="C47">
            <v>73</v>
          </cell>
          <cell r="D47" t="str">
            <v>F</v>
          </cell>
          <cell r="E47">
            <v>55</v>
          </cell>
          <cell r="F47">
            <v>23.626999999999999</v>
          </cell>
          <cell r="G47">
            <v>11325</v>
          </cell>
          <cell r="H47">
            <v>0</v>
          </cell>
          <cell r="I47">
            <v>31570</v>
          </cell>
          <cell r="J47">
            <v>91800</v>
          </cell>
          <cell r="K47">
            <v>91800</v>
          </cell>
          <cell r="L47">
            <v>91800</v>
          </cell>
          <cell r="M47">
            <v>0</v>
          </cell>
          <cell r="N47">
            <v>91800</v>
          </cell>
          <cell r="O47">
            <v>91800</v>
          </cell>
          <cell r="P47">
            <v>91800</v>
          </cell>
          <cell r="Q47">
            <v>0</v>
          </cell>
        </row>
        <row r="48">
          <cell r="C48">
            <v>74</v>
          </cell>
          <cell r="D48" t="str">
            <v>F</v>
          </cell>
          <cell r="E48">
            <v>55</v>
          </cell>
          <cell r="F48">
            <v>19.399999999999999</v>
          </cell>
          <cell r="G48">
            <v>13327</v>
          </cell>
          <cell r="H48">
            <v>284399</v>
          </cell>
          <cell r="I48">
            <v>253918</v>
          </cell>
          <cell r="J48">
            <v>253918</v>
          </cell>
          <cell r="K48">
            <v>191250</v>
          </cell>
          <cell r="L48">
            <v>191250</v>
          </cell>
          <cell r="M48">
            <v>0</v>
          </cell>
          <cell r="N48">
            <v>191250</v>
          </cell>
          <cell r="O48">
            <v>191250</v>
          </cell>
          <cell r="P48">
            <v>191250</v>
          </cell>
          <cell r="Q48">
            <v>12935</v>
          </cell>
        </row>
        <row r="49">
          <cell r="C49">
            <v>75</v>
          </cell>
          <cell r="D49" t="str">
            <v>F</v>
          </cell>
          <cell r="E49">
            <v>55</v>
          </cell>
          <cell r="F49">
            <v>18.297000000000001</v>
          </cell>
          <cell r="G49">
            <v>12457</v>
          </cell>
          <cell r="H49">
            <v>250710</v>
          </cell>
          <cell r="I49">
            <v>222287</v>
          </cell>
          <cell r="J49">
            <v>222287</v>
          </cell>
          <cell r="K49">
            <v>153000</v>
          </cell>
          <cell r="L49">
            <v>153000</v>
          </cell>
          <cell r="M49">
            <v>0</v>
          </cell>
          <cell r="N49">
            <v>153000</v>
          </cell>
          <cell r="O49">
            <v>153000</v>
          </cell>
          <cell r="P49">
            <v>153000</v>
          </cell>
          <cell r="Q49">
            <v>12006</v>
          </cell>
        </row>
        <row r="50">
          <cell r="C50">
            <v>76</v>
          </cell>
          <cell r="D50" t="str">
            <v>M</v>
          </cell>
          <cell r="E50">
            <v>53</v>
          </cell>
          <cell r="F50">
            <v>17.568000000000001</v>
          </cell>
          <cell r="G50">
            <v>14895</v>
          </cell>
          <cell r="H50">
            <v>287856</v>
          </cell>
          <cell r="I50">
            <v>236193</v>
          </cell>
          <cell r="J50">
            <v>236193</v>
          </cell>
          <cell r="K50">
            <v>168300</v>
          </cell>
          <cell r="L50">
            <v>168300</v>
          </cell>
          <cell r="M50">
            <v>0</v>
          </cell>
          <cell r="N50">
            <v>168300</v>
          </cell>
          <cell r="O50">
            <v>168300</v>
          </cell>
          <cell r="P50">
            <v>168300</v>
          </cell>
          <cell r="Q50">
            <v>13281</v>
          </cell>
        </row>
        <row r="51">
          <cell r="C51">
            <v>81</v>
          </cell>
          <cell r="D51" t="str">
            <v>F</v>
          </cell>
          <cell r="E51">
            <v>53</v>
          </cell>
          <cell r="F51">
            <v>20.035</v>
          </cell>
          <cell r="G51">
            <v>11731</v>
          </cell>
          <cell r="H51">
            <v>72389</v>
          </cell>
          <cell r="I51">
            <v>104319</v>
          </cell>
          <cell r="J51">
            <v>150000</v>
          </cell>
          <cell r="K51">
            <v>150000</v>
          </cell>
          <cell r="L51">
            <v>150000</v>
          </cell>
          <cell r="M51">
            <v>0</v>
          </cell>
          <cell r="N51">
            <v>150000</v>
          </cell>
          <cell r="O51">
            <v>150000</v>
          </cell>
          <cell r="P51">
            <v>150000</v>
          </cell>
          <cell r="Q51">
            <v>7396</v>
          </cell>
        </row>
        <row r="52">
          <cell r="C52">
            <v>85</v>
          </cell>
          <cell r="D52" t="str">
            <v>F</v>
          </cell>
          <cell r="E52">
            <v>51</v>
          </cell>
          <cell r="F52">
            <v>16.38</v>
          </cell>
          <cell r="G52">
            <v>7181</v>
          </cell>
          <cell r="H52">
            <v>36231</v>
          </cell>
          <cell r="I52">
            <v>31478</v>
          </cell>
          <cell r="J52">
            <v>31478</v>
          </cell>
          <cell r="K52">
            <v>25000</v>
          </cell>
          <cell r="L52">
            <v>25000</v>
          </cell>
          <cell r="M52">
            <v>0</v>
          </cell>
          <cell r="N52">
            <v>25000</v>
          </cell>
          <cell r="O52">
            <v>25000</v>
          </cell>
          <cell r="P52">
            <v>25000</v>
          </cell>
          <cell r="Q52">
            <v>1898</v>
          </cell>
        </row>
        <row r="53">
          <cell r="C53">
            <v>86</v>
          </cell>
          <cell r="D53" t="str">
            <v>F</v>
          </cell>
          <cell r="E53">
            <v>50</v>
          </cell>
          <cell r="F53">
            <v>14.565</v>
          </cell>
          <cell r="G53">
            <v>12868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94</v>
          </cell>
          <cell r="D54" t="str">
            <v>F</v>
          </cell>
          <cell r="E54">
            <v>52</v>
          </cell>
          <cell r="F54">
            <v>18.001000000000001</v>
          </cell>
          <cell r="G54">
            <v>8775</v>
          </cell>
          <cell r="H54">
            <v>173758</v>
          </cell>
          <cell r="I54">
            <v>167054</v>
          </cell>
          <cell r="J54">
            <v>167054</v>
          </cell>
          <cell r="K54">
            <v>153000</v>
          </cell>
          <cell r="L54">
            <v>153000</v>
          </cell>
          <cell r="M54">
            <v>0</v>
          </cell>
          <cell r="N54">
            <v>153000</v>
          </cell>
          <cell r="O54">
            <v>153000</v>
          </cell>
          <cell r="P54">
            <v>153000</v>
          </cell>
          <cell r="Q54">
            <v>9168</v>
          </cell>
        </row>
        <row r="55">
          <cell r="C55">
            <v>98</v>
          </cell>
          <cell r="D55" t="str">
            <v>F</v>
          </cell>
          <cell r="E55">
            <v>46</v>
          </cell>
          <cell r="F55">
            <v>17.53</v>
          </cell>
          <cell r="G55">
            <v>13990</v>
          </cell>
          <cell r="H55">
            <v>269771</v>
          </cell>
          <cell r="I55">
            <v>143631</v>
          </cell>
          <cell r="J55">
            <v>143631</v>
          </cell>
          <cell r="K55">
            <v>53550</v>
          </cell>
          <cell r="L55">
            <v>53550</v>
          </cell>
          <cell r="M55">
            <v>0</v>
          </cell>
          <cell r="N55">
            <v>53550</v>
          </cell>
          <cell r="O55">
            <v>53550</v>
          </cell>
          <cell r="P55">
            <v>53550</v>
          </cell>
          <cell r="Q55">
            <v>8094</v>
          </cell>
        </row>
        <row r="56">
          <cell r="C56">
            <v>99</v>
          </cell>
          <cell r="D56" t="str">
            <v>F</v>
          </cell>
          <cell r="E56">
            <v>55</v>
          </cell>
          <cell r="F56">
            <v>18.873999999999999</v>
          </cell>
          <cell r="G56">
            <v>16792</v>
          </cell>
          <cell r="H56">
            <v>348630</v>
          </cell>
          <cell r="I56">
            <v>314724</v>
          </cell>
          <cell r="J56">
            <v>314724</v>
          </cell>
          <cell r="K56">
            <v>229500</v>
          </cell>
          <cell r="L56">
            <v>229500</v>
          </cell>
          <cell r="M56">
            <v>0</v>
          </cell>
          <cell r="N56">
            <v>229500</v>
          </cell>
          <cell r="O56">
            <v>229500</v>
          </cell>
          <cell r="P56">
            <v>229500</v>
          </cell>
          <cell r="Q56">
            <v>16479</v>
          </cell>
        </row>
        <row r="57">
          <cell r="C57">
            <v>101</v>
          </cell>
          <cell r="D57" t="str">
            <v>F</v>
          </cell>
          <cell r="E57">
            <v>46</v>
          </cell>
          <cell r="F57">
            <v>17.318999999999999</v>
          </cell>
          <cell r="G57">
            <v>18736</v>
          </cell>
          <cell r="H57">
            <v>0</v>
          </cell>
          <cell r="I57">
            <v>29024</v>
          </cell>
          <cell r="J57">
            <v>50000</v>
          </cell>
          <cell r="K57">
            <v>50000</v>
          </cell>
          <cell r="L57">
            <v>50000</v>
          </cell>
          <cell r="M57">
            <v>0</v>
          </cell>
          <cell r="N57">
            <v>50000</v>
          </cell>
          <cell r="O57">
            <v>50000</v>
          </cell>
          <cell r="P57">
            <v>50000</v>
          </cell>
          <cell r="Q57">
            <v>0</v>
          </cell>
        </row>
        <row r="58">
          <cell r="C58">
            <v>111</v>
          </cell>
          <cell r="D58" t="str">
            <v>F</v>
          </cell>
          <cell r="E58">
            <v>63</v>
          </cell>
          <cell r="F58">
            <v>21.085999999999999</v>
          </cell>
          <cell r="G58">
            <v>17063</v>
          </cell>
          <cell r="H58">
            <v>395775</v>
          </cell>
          <cell r="I58">
            <v>396195</v>
          </cell>
          <cell r="J58">
            <v>396195</v>
          </cell>
          <cell r="K58">
            <v>306000</v>
          </cell>
          <cell r="L58">
            <v>306000</v>
          </cell>
          <cell r="M58">
            <v>0</v>
          </cell>
          <cell r="N58">
            <v>306000</v>
          </cell>
          <cell r="O58">
            <v>306000</v>
          </cell>
          <cell r="P58">
            <v>306000</v>
          </cell>
          <cell r="Q58">
            <v>18620</v>
          </cell>
        </row>
        <row r="59">
          <cell r="C59">
            <v>112</v>
          </cell>
          <cell r="D59" t="str">
            <v>M</v>
          </cell>
          <cell r="E59">
            <v>54</v>
          </cell>
          <cell r="F59">
            <v>18.643999999999998</v>
          </cell>
          <cell r="G59">
            <v>15007</v>
          </cell>
          <cell r="H59">
            <v>307790</v>
          </cell>
          <cell r="I59">
            <v>270267</v>
          </cell>
          <cell r="J59">
            <v>270267</v>
          </cell>
          <cell r="K59">
            <v>206550</v>
          </cell>
          <cell r="L59">
            <v>206550</v>
          </cell>
          <cell r="M59">
            <v>0</v>
          </cell>
          <cell r="N59">
            <v>206550</v>
          </cell>
          <cell r="O59">
            <v>206550</v>
          </cell>
          <cell r="P59">
            <v>206550</v>
          </cell>
          <cell r="Q59">
            <v>14320</v>
          </cell>
        </row>
        <row r="60">
          <cell r="C60">
            <v>115</v>
          </cell>
          <cell r="D60" t="str">
            <v>F</v>
          </cell>
          <cell r="E60">
            <v>57</v>
          </cell>
          <cell r="F60">
            <v>20.558</v>
          </cell>
          <cell r="G60">
            <v>10767</v>
          </cell>
          <cell r="H60">
            <v>243493</v>
          </cell>
          <cell r="I60">
            <v>211157</v>
          </cell>
          <cell r="J60">
            <v>211157</v>
          </cell>
          <cell r="K60">
            <v>99450</v>
          </cell>
          <cell r="L60">
            <v>99450</v>
          </cell>
          <cell r="M60">
            <v>0</v>
          </cell>
          <cell r="N60">
            <v>99450</v>
          </cell>
          <cell r="O60">
            <v>99450</v>
          </cell>
          <cell r="P60">
            <v>99450</v>
          </cell>
          <cell r="Q60">
            <v>10155</v>
          </cell>
        </row>
        <row r="61">
          <cell r="C61">
            <v>117</v>
          </cell>
          <cell r="D61" t="str">
            <v>F</v>
          </cell>
          <cell r="E61">
            <v>64</v>
          </cell>
          <cell r="F61">
            <v>19.824000000000002</v>
          </cell>
          <cell r="G61">
            <v>14592</v>
          </cell>
          <cell r="H61">
            <v>318216</v>
          </cell>
          <cell r="I61">
            <v>318216</v>
          </cell>
          <cell r="J61">
            <v>318216</v>
          </cell>
          <cell r="K61">
            <v>126536</v>
          </cell>
          <cell r="L61">
            <v>126536</v>
          </cell>
          <cell r="M61">
            <v>0</v>
          </cell>
          <cell r="N61">
            <v>126536</v>
          </cell>
          <cell r="O61">
            <v>126536</v>
          </cell>
          <cell r="P61">
            <v>126536</v>
          </cell>
          <cell r="Q61">
            <v>15908</v>
          </cell>
        </row>
        <row r="62">
          <cell r="C62">
            <v>118</v>
          </cell>
          <cell r="D62" t="str">
            <v>F</v>
          </cell>
          <cell r="E62">
            <v>64</v>
          </cell>
          <cell r="F62">
            <v>17.155000000000001</v>
          </cell>
          <cell r="G62">
            <v>10241</v>
          </cell>
          <cell r="H62">
            <v>193262</v>
          </cell>
          <cell r="I62">
            <v>193262</v>
          </cell>
          <cell r="J62">
            <v>193262</v>
          </cell>
          <cell r="K62">
            <v>120052</v>
          </cell>
          <cell r="L62">
            <v>120052</v>
          </cell>
          <cell r="M62">
            <v>0</v>
          </cell>
          <cell r="N62">
            <v>120052</v>
          </cell>
          <cell r="O62">
            <v>120052</v>
          </cell>
          <cell r="P62">
            <v>120052</v>
          </cell>
          <cell r="Q62">
            <v>11165</v>
          </cell>
        </row>
        <row r="63">
          <cell r="C63">
            <v>119</v>
          </cell>
          <cell r="D63" t="str">
            <v>M</v>
          </cell>
          <cell r="E63">
            <v>55</v>
          </cell>
          <cell r="F63">
            <v>18.97</v>
          </cell>
          <cell r="G63">
            <v>13158</v>
          </cell>
          <cell r="H63">
            <v>274572</v>
          </cell>
          <cell r="I63">
            <v>190952</v>
          </cell>
          <cell r="J63">
            <v>190952</v>
          </cell>
          <cell r="K63">
            <v>42526</v>
          </cell>
          <cell r="L63">
            <v>42526</v>
          </cell>
          <cell r="M63">
            <v>0</v>
          </cell>
          <cell r="N63">
            <v>42526</v>
          </cell>
          <cell r="O63">
            <v>42526</v>
          </cell>
          <cell r="P63">
            <v>42526</v>
          </cell>
          <cell r="Q63">
            <v>9944</v>
          </cell>
        </row>
        <row r="64">
          <cell r="C64">
            <v>120</v>
          </cell>
          <cell r="D64" t="str">
            <v>M</v>
          </cell>
          <cell r="E64">
            <v>53</v>
          </cell>
          <cell r="F64">
            <v>15.307</v>
          </cell>
          <cell r="G64">
            <v>13556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C65">
            <v>122</v>
          </cell>
          <cell r="D65" t="str">
            <v>M</v>
          </cell>
          <cell r="E65">
            <v>64</v>
          </cell>
          <cell r="F65">
            <v>21.085999999999999</v>
          </cell>
          <cell r="G65">
            <v>16744</v>
          </cell>
          <cell r="H65">
            <v>388382</v>
          </cell>
          <cell r="I65">
            <v>384451</v>
          </cell>
          <cell r="J65">
            <v>384451</v>
          </cell>
          <cell r="K65">
            <v>250727</v>
          </cell>
          <cell r="L65">
            <v>250727</v>
          </cell>
          <cell r="M65">
            <v>0</v>
          </cell>
          <cell r="N65">
            <v>250727</v>
          </cell>
          <cell r="O65">
            <v>250727</v>
          </cell>
          <cell r="P65">
            <v>250727</v>
          </cell>
          <cell r="Q65">
            <v>18053</v>
          </cell>
        </row>
        <row r="66">
          <cell r="C66" t="str">
            <v>All</v>
          </cell>
          <cell r="G66">
            <v>473749</v>
          </cell>
          <cell r="H66">
            <v>6119051</v>
          </cell>
          <cell r="I66">
            <v>5692404</v>
          </cell>
          <cell r="J66">
            <v>6138271</v>
          </cell>
          <cell r="K66">
            <v>4346791</v>
          </cell>
          <cell r="L66">
            <v>4346791</v>
          </cell>
          <cell r="M66">
            <v>0</v>
          </cell>
          <cell r="N66">
            <v>4346791</v>
          </cell>
          <cell r="O66">
            <v>4346791</v>
          </cell>
          <cell r="P66">
            <v>4346791</v>
          </cell>
          <cell r="Q66">
            <v>271999</v>
          </cell>
        </row>
        <row r="68">
          <cell r="C68" t="str">
            <v>Valuation Date 31DEC2024, Scenario=0,Prob Scenario=0,RFScenario=1,Inflation=0, Reporting Group C</v>
          </cell>
        </row>
        <row r="69">
          <cell r="G69" t="str">
            <v>Last Monthly Salary For Severance</v>
          </cell>
          <cell r="H69" t="str">
            <v>Pitzuim</v>
          </cell>
          <cell r="I69" t="str">
            <v>Salary Value</v>
          </cell>
          <cell r="J69" t="str">
            <v>Salary Value Final</v>
          </cell>
          <cell r="K69" t="str">
            <v>Severance Pay Fund</v>
          </cell>
          <cell r="L69" t="str">
            <v>Severance Pay Fund Value1</v>
          </cell>
          <cell r="M69" t="str">
            <v>Severance Pay Fund0</v>
          </cell>
          <cell r="N69" t="str">
            <v>Severance Pay Fund Value</v>
          </cell>
          <cell r="O69" t="str">
            <v>Severance Pay Fund Value Final</v>
          </cell>
          <cell r="P69" t="str">
            <v>Severance Pay Fund Value Final 2</v>
          </cell>
          <cell r="Q69" t="str">
            <v>Current Service Cost final</v>
          </cell>
        </row>
        <row r="70">
          <cell r="C70" t="str">
            <v>Unique Identity Number</v>
          </cell>
          <cell r="D70" t="str">
            <v>Gender</v>
          </cell>
          <cell r="E70" t="str">
            <v>Age</v>
          </cell>
          <cell r="F70" t="str">
            <v>Seniority in Yrs</v>
          </cell>
          <cell r="G70">
            <v>26625</v>
          </cell>
          <cell r="H70">
            <v>100482</v>
          </cell>
          <cell r="I70">
            <v>77340</v>
          </cell>
          <cell r="J70">
            <v>77340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5671</v>
          </cell>
        </row>
        <row r="71">
          <cell r="C71">
            <v>15</v>
          </cell>
          <cell r="D71" t="str">
            <v>M</v>
          </cell>
          <cell r="E71">
            <v>58</v>
          </cell>
          <cell r="F71">
            <v>13.478</v>
          </cell>
        </row>
        <row r="72">
          <cell r="C72">
            <v>18</v>
          </cell>
          <cell r="D72" t="str">
            <v>F</v>
          </cell>
          <cell r="E72">
            <v>57</v>
          </cell>
          <cell r="F72">
            <v>13.920999999999999</v>
          </cell>
          <cell r="G72">
            <v>18338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22</v>
          </cell>
          <cell r="D73" t="str">
            <v>F</v>
          </cell>
          <cell r="E73">
            <v>56</v>
          </cell>
          <cell r="F73">
            <v>13.648</v>
          </cell>
          <cell r="G73">
            <v>39375</v>
          </cell>
          <cell r="H73">
            <v>150471</v>
          </cell>
          <cell r="I73">
            <v>175219</v>
          </cell>
          <cell r="J73">
            <v>214200</v>
          </cell>
          <cell r="K73">
            <v>214200</v>
          </cell>
          <cell r="L73">
            <v>214200</v>
          </cell>
          <cell r="M73">
            <v>0</v>
          </cell>
          <cell r="N73">
            <v>214200</v>
          </cell>
          <cell r="O73">
            <v>214200</v>
          </cell>
          <cell r="P73">
            <v>214200</v>
          </cell>
          <cell r="Q73">
            <v>15510</v>
          </cell>
        </row>
        <row r="74">
          <cell r="C74">
            <v>25</v>
          </cell>
          <cell r="D74" t="str">
            <v>M</v>
          </cell>
          <cell r="E74">
            <v>54</v>
          </cell>
          <cell r="F74">
            <v>13.763</v>
          </cell>
          <cell r="G74">
            <v>7580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38</v>
          </cell>
          <cell r="D75" t="str">
            <v>M</v>
          </cell>
          <cell r="E75">
            <v>52</v>
          </cell>
          <cell r="F75">
            <v>13.412000000000001</v>
          </cell>
          <cell r="G75">
            <v>11963</v>
          </cell>
          <cell r="H75">
            <v>44926</v>
          </cell>
          <cell r="I75">
            <v>25729</v>
          </cell>
          <cell r="J75">
            <v>25729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1894</v>
          </cell>
        </row>
        <row r="76">
          <cell r="C76">
            <v>44</v>
          </cell>
          <cell r="D76" t="str">
            <v>M</v>
          </cell>
          <cell r="E76">
            <v>52</v>
          </cell>
          <cell r="F76">
            <v>13.920999999999999</v>
          </cell>
          <cell r="G76">
            <v>10727</v>
          </cell>
          <cell r="H76">
            <v>41817</v>
          </cell>
          <cell r="I76">
            <v>23623</v>
          </cell>
          <cell r="J76">
            <v>23623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1676</v>
          </cell>
        </row>
        <row r="77">
          <cell r="C77">
            <v>87</v>
          </cell>
          <cell r="D77" t="str">
            <v>M</v>
          </cell>
          <cell r="E77">
            <v>50</v>
          </cell>
          <cell r="F77">
            <v>13.648</v>
          </cell>
          <cell r="G77">
            <v>17541</v>
          </cell>
          <cell r="H77">
            <v>119699</v>
          </cell>
          <cell r="I77">
            <v>63256</v>
          </cell>
          <cell r="J77">
            <v>63256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4577</v>
          </cell>
        </row>
        <row r="78">
          <cell r="C78">
            <v>91</v>
          </cell>
          <cell r="D78" t="str">
            <v>F</v>
          </cell>
          <cell r="E78">
            <v>43</v>
          </cell>
          <cell r="F78">
            <v>13.96</v>
          </cell>
          <cell r="G78">
            <v>8074</v>
          </cell>
          <cell r="H78">
            <v>112712</v>
          </cell>
          <cell r="I78">
            <v>77970</v>
          </cell>
          <cell r="J78">
            <v>77970</v>
          </cell>
          <cell r="K78">
            <v>53550</v>
          </cell>
          <cell r="L78">
            <v>53550</v>
          </cell>
          <cell r="M78">
            <v>0</v>
          </cell>
          <cell r="N78">
            <v>53550</v>
          </cell>
          <cell r="O78">
            <v>53550</v>
          </cell>
          <cell r="P78">
            <v>53550</v>
          </cell>
          <cell r="Q78">
            <v>5518</v>
          </cell>
        </row>
        <row r="79">
          <cell r="C79">
            <v>108</v>
          </cell>
          <cell r="D79" t="str">
            <v>F</v>
          </cell>
          <cell r="E79">
            <v>59</v>
          </cell>
          <cell r="F79">
            <v>13.763</v>
          </cell>
          <cell r="G79">
            <v>16744</v>
          </cell>
          <cell r="H79">
            <v>115224</v>
          </cell>
          <cell r="I79">
            <v>96733</v>
          </cell>
          <cell r="J79">
            <v>96733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6952</v>
          </cell>
        </row>
        <row r="80">
          <cell r="C80" t="str">
            <v>All</v>
          </cell>
          <cell r="G80">
            <v>156965</v>
          </cell>
          <cell r="H80">
            <v>685331</v>
          </cell>
          <cell r="I80">
            <v>539870</v>
          </cell>
          <cell r="J80">
            <v>578851</v>
          </cell>
          <cell r="K80">
            <v>267750</v>
          </cell>
          <cell r="L80">
            <v>267750</v>
          </cell>
          <cell r="M80">
            <v>0</v>
          </cell>
          <cell r="N80">
            <v>267750</v>
          </cell>
          <cell r="O80">
            <v>267750</v>
          </cell>
          <cell r="P80">
            <v>267750</v>
          </cell>
          <cell r="Q80">
            <v>41798</v>
          </cell>
        </row>
        <row r="83">
          <cell r="C83" t="str">
            <v>Valuation Date 31DEC2024, Scenario=0,Prob Scenario=0,RFScenario=1,Inflation=0, Reporting Group D</v>
          </cell>
        </row>
        <row r="84">
          <cell r="G84" t="str">
            <v>Last Monthly Salary For Severance</v>
          </cell>
          <cell r="H84" t="str">
            <v>Pitzuim</v>
          </cell>
          <cell r="I84" t="str">
            <v>Salary Value</v>
          </cell>
          <cell r="J84" t="str">
            <v>Salary Value Final</v>
          </cell>
          <cell r="K84" t="str">
            <v>Severance Pay Fund</v>
          </cell>
          <cell r="L84" t="str">
            <v>Severance Pay Fund Value1</v>
          </cell>
          <cell r="M84" t="str">
            <v>Severance Pay Fund0</v>
          </cell>
          <cell r="N84" t="str">
            <v>Severance Pay Fund Value</v>
          </cell>
          <cell r="O84" t="str">
            <v>Severance Pay Fund Value Final</v>
          </cell>
          <cell r="P84" t="str">
            <v>Severance Pay Fund Value Final 2</v>
          </cell>
          <cell r="Q84" t="str">
            <v>Current Service Cost final</v>
          </cell>
        </row>
        <row r="85">
          <cell r="C85" t="str">
            <v>Unique Identity Number</v>
          </cell>
          <cell r="D85" t="str">
            <v>Gender</v>
          </cell>
          <cell r="E85" t="str">
            <v>Age</v>
          </cell>
          <cell r="F85" t="str">
            <v>Seniority in Yrs</v>
          </cell>
          <cell r="G85">
            <v>8377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39</v>
          </cell>
          <cell r="D86" t="str">
            <v>M</v>
          </cell>
          <cell r="E86">
            <v>44</v>
          </cell>
          <cell r="F86">
            <v>12.013</v>
          </cell>
        </row>
        <row r="87">
          <cell r="C87">
            <v>90</v>
          </cell>
          <cell r="D87" t="str">
            <v>F</v>
          </cell>
          <cell r="E87">
            <v>43</v>
          </cell>
          <cell r="F87">
            <v>12.462</v>
          </cell>
          <cell r="G87">
            <v>15469</v>
          </cell>
          <cell r="H87">
            <v>0</v>
          </cell>
          <cell r="I87">
            <v>37483</v>
          </cell>
          <cell r="J87">
            <v>60000</v>
          </cell>
          <cell r="K87">
            <v>60000</v>
          </cell>
          <cell r="L87">
            <v>60000</v>
          </cell>
          <cell r="M87">
            <v>0</v>
          </cell>
          <cell r="N87">
            <v>60000</v>
          </cell>
          <cell r="O87">
            <v>60000</v>
          </cell>
          <cell r="P87">
            <v>60000</v>
          </cell>
          <cell r="Q87">
            <v>0</v>
          </cell>
        </row>
        <row r="88">
          <cell r="C88" t="str">
            <v>All</v>
          </cell>
          <cell r="G88">
            <v>23845</v>
          </cell>
          <cell r="H88">
            <v>0</v>
          </cell>
          <cell r="I88">
            <v>37483</v>
          </cell>
          <cell r="J88">
            <v>60000</v>
          </cell>
          <cell r="K88">
            <v>60000</v>
          </cell>
          <cell r="L88">
            <v>60000</v>
          </cell>
          <cell r="M88">
            <v>0</v>
          </cell>
          <cell r="N88">
            <v>60000</v>
          </cell>
          <cell r="O88">
            <v>60000</v>
          </cell>
          <cell r="P88">
            <v>60000</v>
          </cell>
          <cell r="Q88">
            <v>0</v>
          </cell>
        </row>
        <row r="92">
          <cell r="C92" t="str">
            <v>Valuation Date 31DEC2024, Scenario=0,Prob Scenario=0,RFScenario=1,Inflation=0, Reporting Group E</v>
          </cell>
        </row>
        <row r="93">
          <cell r="G93" t="str">
            <v>Last Monthly Salary For Severance</v>
          </cell>
          <cell r="H93" t="str">
            <v>Pitzuim</v>
          </cell>
          <cell r="I93" t="str">
            <v>Salary Value</v>
          </cell>
          <cell r="J93" t="str">
            <v>Salary Value Final</v>
          </cell>
          <cell r="K93" t="str">
            <v>Severance Pay Fund</v>
          </cell>
          <cell r="L93" t="str">
            <v>Severance Pay Fund Value1</v>
          </cell>
          <cell r="M93" t="str">
            <v>Severance Pay Fund0</v>
          </cell>
          <cell r="N93" t="str">
            <v>Severance Pay Fund Value</v>
          </cell>
          <cell r="O93" t="str">
            <v>Severance Pay Fund Value Final</v>
          </cell>
          <cell r="P93" t="str">
            <v>Severance Pay Fund Value Final 2</v>
          </cell>
          <cell r="Q93" t="str">
            <v>Current Service Cost final</v>
          </cell>
        </row>
        <row r="94">
          <cell r="C94" t="str">
            <v>Unique Identity Number</v>
          </cell>
          <cell r="D94" t="str">
            <v>Gender</v>
          </cell>
          <cell r="E94" t="str">
            <v>Age</v>
          </cell>
          <cell r="F94" t="str">
            <v>Seniority in Yrs</v>
          </cell>
          <cell r="G94">
            <v>6384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1</v>
          </cell>
          <cell r="D95" t="str">
            <v>M</v>
          </cell>
          <cell r="E95">
            <v>43</v>
          </cell>
          <cell r="F95">
            <v>11.143000000000001</v>
          </cell>
        </row>
        <row r="96">
          <cell r="C96">
            <v>124</v>
          </cell>
          <cell r="D96" t="str">
            <v>M</v>
          </cell>
          <cell r="E96">
            <v>43</v>
          </cell>
          <cell r="F96">
            <v>11.592000000000001</v>
          </cell>
          <cell r="G96">
            <v>4313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C97">
            <v>125</v>
          </cell>
          <cell r="D97" t="str">
            <v>F</v>
          </cell>
          <cell r="E97">
            <v>49</v>
          </cell>
          <cell r="F97">
            <v>11.252000000000001</v>
          </cell>
          <cell r="G97">
            <v>4313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C98" t="str">
            <v>All</v>
          </cell>
          <cell r="G98">
            <v>15009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102">
          <cell r="C102" t="str">
            <v>Valuation Date 31DEC2024, Scenario=0,Prob Scenario=0,RFScenario=1,Inflation=0, Reporting Group F</v>
          </cell>
        </row>
        <row r="103">
          <cell r="G103" t="str">
            <v>Last Monthly Salary For Severance</v>
          </cell>
          <cell r="H103" t="str">
            <v>Pitzuim</v>
          </cell>
          <cell r="I103" t="str">
            <v>Salary Value</v>
          </cell>
          <cell r="J103" t="str">
            <v>Salary Value Final</v>
          </cell>
          <cell r="K103" t="str">
            <v>Severance Pay Fund</v>
          </cell>
          <cell r="L103" t="str">
            <v>Severance Pay Fund Value1</v>
          </cell>
          <cell r="M103" t="str">
            <v>Severance Pay Fund0</v>
          </cell>
          <cell r="N103" t="str">
            <v>Severance Pay Fund Value</v>
          </cell>
          <cell r="O103" t="str">
            <v>Severance Pay Fund Value Final</v>
          </cell>
          <cell r="P103" t="str">
            <v>Severance Pay Fund Value Final 2</v>
          </cell>
          <cell r="Q103" t="str">
            <v>Current Service Cost final</v>
          </cell>
        </row>
        <row r="104">
          <cell r="C104" t="str">
            <v>Unique Identity Number</v>
          </cell>
          <cell r="D104" t="str">
            <v>Gender</v>
          </cell>
          <cell r="E104" t="str">
            <v>Age</v>
          </cell>
          <cell r="F104" t="str">
            <v>Seniority in Yrs</v>
          </cell>
          <cell r="G104">
            <v>17541</v>
          </cell>
          <cell r="H104">
            <v>51877</v>
          </cell>
          <cell r="I104">
            <v>20143</v>
          </cell>
          <cell r="J104">
            <v>20143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1884</v>
          </cell>
        </row>
        <row r="105">
          <cell r="C105">
            <v>2</v>
          </cell>
          <cell r="D105" t="str">
            <v>F</v>
          </cell>
          <cell r="E105">
            <v>43</v>
          </cell>
          <cell r="F105">
            <v>10.561999999999999</v>
          </cell>
        </row>
        <row r="106">
          <cell r="C106">
            <v>47</v>
          </cell>
          <cell r="D106" t="str">
            <v>F</v>
          </cell>
          <cell r="E106">
            <v>60</v>
          </cell>
          <cell r="F106">
            <v>10.94</v>
          </cell>
          <cell r="G106">
            <v>7978</v>
          </cell>
          <cell r="H106">
            <v>24440</v>
          </cell>
          <cell r="I106">
            <v>22380</v>
          </cell>
          <cell r="J106">
            <v>22380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2024</v>
          </cell>
        </row>
        <row r="107">
          <cell r="C107">
            <v>130</v>
          </cell>
          <cell r="D107" t="str">
            <v>F</v>
          </cell>
          <cell r="E107">
            <v>53</v>
          </cell>
          <cell r="F107">
            <v>10.253</v>
          </cell>
          <cell r="G107">
            <v>5787</v>
          </cell>
          <cell r="H107">
            <v>59333</v>
          </cell>
          <cell r="I107">
            <v>42839</v>
          </cell>
          <cell r="J107">
            <v>42839</v>
          </cell>
          <cell r="K107">
            <v>15242</v>
          </cell>
          <cell r="L107">
            <v>15242</v>
          </cell>
          <cell r="M107">
            <v>0</v>
          </cell>
          <cell r="N107">
            <v>15242</v>
          </cell>
          <cell r="O107">
            <v>15242</v>
          </cell>
          <cell r="P107">
            <v>15242</v>
          </cell>
          <cell r="Q107">
            <v>4128</v>
          </cell>
        </row>
        <row r="108">
          <cell r="C108">
            <v>131</v>
          </cell>
          <cell r="D108" t="str">
            <v>F</v>
          </cell>
          <cell r="E108">
            <v>47</v>
          </cell>
          <cell r="F108">
            <v>10.253</v>
          </cell>
          <cell r="G108">
            <v>11166</v>
          </cell>
          <cell r="H108">
            <v>57242</v>
          </cell>
          <cell r="I108">
            <v>25781</v>
          </cell>
          <cell r="J108">
            <v>25781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2484</v>
          </cell>
        </row>
        <row r="109">
          <cell r="C109">
            <v>132</v>
          </cell>
          <cell r="D109" t="str">
            <v>F</v>
          </cell>
          <cell r="E109">
            <v>41</v>
          </cell>
          <cell r="F109">
            <v>10.253</v>
          </cell>
          <cell r="G109">
            <v>5428</v>
          </cell>
          <cell r="H109">
            <v>55656</v>
          </cell>
          <cell r="I109">
            <v>29637</v>
          </cell>
          <cell r="J109">
            <v>29637</v>
          </cell>
          <cell r="K109">
            <v>14375</v>
          </cell>
          <cell r="L109">
            <v>14375</v>
          </cell>
          <cell r="M109">
            <v>0</v>
          </cell>
          <cell r="N109">
            <v>14375</v>
          </cell>
          <cell r="O109">
            <v>14375</v>
          </cell>
          <cell r="P109">
            <v>14375</v>
          </cell>
          <cell r="Q109">
            <v>2856</v>
          </cell>
        </row>
        <row r="110">
          <cell r="C110">
            <v>134</v>
          </cell>
          <cell r="D110" t="str">
            <v>F</v>
          </cell>
          <cell r="E110">
            <v>52</v>
          </cell>
          <cell r="F110">
            <v>10.253</v>
          </cell>
          <cell r="G110">
            <v>5428</v>
          </cell>
          <cell r="H110">
            <v>55656</v>
          </cell>
          <cell r="I110">
            <v>41190</v>
          </cell>
          <cell r="J110">
            <v>41190</v>
          </cell>
          <cell r="K110">
            <v>19315</v>
          </cell>
          <cell r="L110">
            <v>19315</v>
          </cell>
          <cell r="M110">
            <v>0</v>
          </cell>
          <cell r="N110">
            <v>19315</v>
          </cell>
          <cell r="O110">
            <v>19315</v>
          </cell>
          <cell r="P110">
            <v>19315</v>
          </cell>
          <cell r="Q110">
            <v>3969</v>
          </cell>
        </row>
        <row r="111">
          <cell r="C111">
            <v>135</v>
          </cell>
          <cell r="D111" t="str">
            <v>F</v>
          </cell>
          <cell r="E111">
            <v>39</v>
          </cell>
          <cell r="F111">
            <v>10.253</v>
          </cell>
          <cell r="G111">
            <v>8775</v>
          </cell>
          <cell r="H111">
            <v>89972</v>
          </cell>
          <cell r="I111">
            <v>49605</v>
          </cell>
          <cell r="J111">
            <v>49605</v>
          </cell>
          <cell r="K111">
            <v>27566</v>
          </cell>
          <cell r="L111">
            <v>27566</v>
          </cell>
          <cell r="M111">
            <v>0</v>
          </cell>
          <cell r="N111">
            <v>27566</v>
          </cell>
          <cell r="O111">
            <v>27566</v>
          </cell>
          <cell r="P111">
            <v>27566</v>
          </cell>
          <cell r="Q111">
            <v>4780</v>
          </cell>
        </row>
        <row r="112">
          <cell r="C112">
            <v>136</v>
          </cell>
          <cell r="D112" t="str">
            <v>F</v>
          </cell>
          <cell r="E112">
            <v>48</v>
          </cell>
          <cell r="F112">
            <v>10.253</v>
          </cell>
          <cell r="G112">
            <v>5667</v>
          </cell>
          <cell r="H112">
            <v>58107</v>
          </cell>
          <cell r="I112">
            <v>35516</v>
          </cell>
          <cell r="J112">
            <v>35516</v>
          </cell>
          <cell r="K112">
            <v>14227</v>
          </cell>
          <cell r="L112">
            <v>14227</v>
          </cell>
          <cell r="M112">
            <v>0</v>
          </cell>
          <cell r="N112">
            <v>14227</v>
          </cell>
          <cell r="O112">
            <v>14227</v>
          </cell>
          <cell r="P112">
            <v>14227</v>
          </cell>
          <cell r="Q112">
            <v>3422</v>
          </cell>
        </row>
        <row r="113">
          <cell r="C113">
            <v>137</v>
          </cell>
          <cell r="D113" t="str">
            <v>M</v>
          </cell>
          <cell r="E113">
            <v>61</v>
          </cell>
          <cell r="F113">
            <v>10.253</v>
          </cell>
          <cell r="G113">
            <v>8357</v>
          </cell>
          <cell r="H113">
            <v>85683</v>
          </cell>
          <cell r="I113">
            <v>80702</v>
          </cell>
          <cell r="J113">
            <v>80702</v>
          </cell>
          <cell r="K113">
            <v>36941</v>
          </cell>
          <cell r="L113">
            <v>36941</v>
          </cell>
          <cell r="M113">
            <v>0</v>
          </cell>
          <cell r="N113">
            <v>36941</v>
          </cell>
          <cell r="O113">
            <v>36941</v>
          </cell>
          <cell r="P113">
            <v>36941</v>
          </cell>
          <cell r="Q113">
            <v>7782</v>
          </cell>
        </row>
        <row r="114">
          <cell r="C114">
            <v>139</v>
          </cell>
          <cell r="D114" t="str">
            <v>M</v>
          </cell>
          <cell r="E114">
            <v>51</v>
          </cell>
          <cell r="F114">
            <v>10.253</v>
          </cell>
          <cell r="G114">
            <v>8775</v>
          </cell>
          <cell r="H114">
            <v>44986</v>
          </cell>
          <cell r="I114">
            <v>24337</v>
          </cell>
          <cell r="J114">
            <v>24337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2344</v>
          </cell>
        </row>
        <row r="115">
          <cell r="C115" t="str">
            <v>All</v>
          </cell>
          <cell r="G115">
            <v>84901</v>
          </cell>
          <cell r="H115">
            <v>582952</v>
          </cell>
          <cell r="I115">
            <v>372130</v>
          </cell>
          <cell r="J115">
            <v>372130</v>
          </cell>
          <cell r="K115">
            <v>127666</v>
          </cell>
          <cell r="L115">
            <v>127666</v>
          </cell>
          <cell r="M115">
            <v>0</v>
          </cell>
          <cell r="N115">
            <v>127666</v>
          </cell>
          <cell r="O115">
            <v>127666</v>
          </cell>
          <cell r="P115">
            <v>127666</v>
          </cell>
          <cell r="Q115">
            <v>35672</v>
          </cell>
        </row>
        <row r="119">
          <cell r="C119" t="str">
            <v>Valuation Date 31DEC2024, Scenario=0,Prob Scenario=0,RFScenario=1,Inflation=0, Reporting Group G</v>
          </cell>
        </row>
        <row r="120">
          <cell r="G120" t="str">
            <v>Last Monthly Salary For Severance</v>
          </cell>
          <cell r="H120" t="str">
            <v>Pitzuim</v>
          </cell>
          <cell r="I120" t="str">
            <v>Salary Value</v>
          </cell>
          <cell r="J120" t="str">
            <v>Salary Value Final</v>
          </cell>
          <cell r="K120" t="str">
            <v>Severance Pay Fund</v>
          </cell>
          <cell r="L120" t="str">
            <v>Severance Pay Fund Value1</v>
          </cell>
          <cell r="M120" t="str">
            <v>Severance Pay Fund0</v>
          </cell>
          <cell r="N120" t="str">
            <v>Severance Pay Fund Value</v>
          </cell>
          <cell r="O120" t="str">
            <v>Severance Pay Fund Value Final</v>
          </cell>
          <cell r="P120" t="str">
            <v>Severance Pay Fund Value Final 2</v>
          </cell>
          <cell r="Q120" t="str">
            <v>Current Service Cost final</v>
          </cell>
        </row>
        <row r="121">
          <cell r="C121" t="str">
            <v>Unique Identity Number</v>
          </cell>
          <cell r="D121" t="str">
            <v>Gender</v>
          </cell>
          <cell r="E121" t="str">
            <v>Age</v>
          </cell>
          <cell r="F121" t="str">
            <v>Seniority in Yrs</v>
          </cell>
          <cell r="G121">
            <v>7978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C122">
            <v>30</v>
          </cell>
          <cell r="D122" t="str">
            <v>M</v>
          </cell>
          <cell r="E122">
            <v>47</v>
          </cell>
          <cell r="F122">
            <v>9.7759999999999998</v>
          </cell>
        </row>
        <row r="123">
          <cell r="C123">
            <v>126</v>
          </cell>
          <cell r="D123" t="str">
            <v>F</v>
          </cell>
          <cell r="E123">
            <v>62</v>
          </cell>
          <cell r="F123">
            <v>9.4309999999999992</v>
          </cell>
          <cell r="G123">
            <v>5030</v>
          </cell>
          <cell r="H123">
            <v>47439</v>
          </cell>
          <cell r="I123">
            <v>44750</v>
          </cell>
          <cell r="J123">
            <v>44750</v>
          </cell>
          <cell r="K123">
            <v>12718</v>
          </cell>
          <cell r="L123">
            <v>12718</v>
          </cell>
          <cell r="M123">
            <v>0</v>
          </cell>
          <cell r="N123">
            <v>12718</v>
          </cell>
          <cell r="O123">
            <v>12718</v>
          </cell>
          <cell r="P123">
            <v>12718</v>
          </cell>
          <cell r="Q123">
            <v>4702</v>
          </cell>
        </row>
        <row r="124">
          <cell r="C124">
            <v>129</v>
          </cell>
          <cell r="D124" t="str">
            <v>M</v>
          </cell>
          <cell r="E124">
            <v>62</v>
          </cell>
          <cell r="F124">
            <v>9.8689999999999998</v>
          </cell>
          <cell r="G124">
            <v>5588</v>
          </cell>
          <cell r="H124">
            <v>55148</v>
          </cell>
          <cell r="I124">
            <v>51358</v>
          </cell>
          <cell r="J124">
            <v>51358</v>
          </cell>
          <cell r="K124">
            <v>14890</v>
          </cell>
          <cell r="L124">
            <v>14890</v>
          </cell>
          <cell r="M124">
            <v>0</v>
          </cell>
          <cell r="N124">
            <v>14890</v>
          </cell>
          <cell r="O124">
            <v>14890</v>
          </cell>
          <cell r="P124">
            <v>14890</v>
          </cell>
          <cell r="Q124">
            <v>5147</v>
          </cell>
        </row>
        <row r="125">
          <cell r="C125">
            <v>133</v>
          </cell>
          <cell r="D125" t="str">
            <v>M</v>
          </cell>
          <cell r="E125">
            <v>54</v>
          </cell>
          <cell r="F125">
            <v>9.7759999999999998</v>
          </cell>
          <cell r="G125">
            <v>11963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 t="str">
            <v>All</v>
          </cell>
          <cell r="G126">
            <v>30558</v>
          </cell>
          <cell r="H126">
            <v>102587</v>
          </cell>
          <cell r="I126">
            <v>96108</v>
          </cell>
          <cell r="J126">
            <v>96108</v>
          </cell>
          <cell r="K126">
            <v>27609</v>
          </cell>
          <cell r="L126">
            <v>27609</v>
          </cell>
          <cell r="M126">
            <v>0</v>
          </cell>
          <cell r="N126">
            <v>27609</v>
          </cell>
          <cell r="O126">
            <v>27609</v>
          </cell>
          <cell r="P126">
            <v>27609</v>
          </cell>
          <cell r="Q126">
            <v>9849</v>
          </cell>
        </row>
        <row r="130">
          <cell r="C130" t="str">
            <v>Valuation Date 31DEC2024, Scenario=0,Prob Scenario=0,RFScenario=1,Inflation=0, Reporting Group H</v>
          </cell>
        </row>
        <row r="131">
          <cell r="G131" t="str">
            <v>Last Monthly Salary For Severance</v>
          </cell>
          <cell r="H131" t="str">
            <v>Pitzuim</v>
          </cell>
          <cell r="I131" t="str">
            <v>Salary Value</v>
          </cell>
          <cell r="J131" t="str">
            <v>Salary Value Final</v>
          </cell>
          <cell r="K131" t="str">
            <v>Severance Pay Fund</v>
          </cell>
          <cell r="L131" t="str">
            <v>Severance Pay Fund Value1</v>
          </cell>
          <cell r="M131" t="str">
            <v>Severance Pay Fund0</v>
          </cell>
          <cell r="N131" t="str">
            <v>Severance Pay Fund Value</v>
          </cell>
          <cell r="O131" t="str">
            <v>Severance Pay Fund Value Final</v>
          </cell>
          <cell r="P131" t="str">
            <v>Severance Pay Fund Value Final 2</v>
          </cell>
          <cell r="Q131" t="str">
            <v>Current Service Cost final</v>
          </cell>
        </row>
        <row r="132">
          <cell r="C132" t="str">
            <v>Unique Identity Number</v>
          </cell>
          <cell r="D132" t="str">
            <v>Gender</v>
          </cell>
          <cell r="E132" t="str">
            <v>Age</v>
          </cell>
          <cell r="F132" t="str">
            <v>Seniority in Yrs</v>
          </cell>
          <cell r="G132">
            <v>9333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C133">
            <v>9</v>
          </cell>
          <cell r="D133" t="str">
            <v>F</v>
          </cell>
          <cell r="E133">
            <v>55</v>
          </cell>
          <cell r="F133">
            <v>8.1690000000000005</v>
          </cell>
        </row>
        <row r="134">
          <cell r="C134">
            <v>12</v>
          </cell>
          <cell r="D134" t="str">
            <v>M</v>
          </cell>
          <cell r="E134">
            <v>55</v>
          </cell>
          <cell r="F134">
            <v>8.032</v>
          </cell>
          <cell r="G134">
            <v>5986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C135">
            <v>28</v>
          </cell>
          <cell r="D135" t="str">
            <v>F</v>
          </cell>
          <cell r="E135">
            <v>51</v>
          </cell>
          <cell r="F135">
            <v>8.5060000000000002</v>
          </cell>
          <cell r="G135">
            <v>19134</v>
          </cell>
          <cell r="H135">
            <v>162767</v>
          </cell>
          <cell r="I135">
            <v>177350</v>
          </cell>
          <cell r="J135">
            <v>191250</v>
          </cell>
          <cell r="K135">
            <v>191250</v>
          </cell>
          <cell r="L135">
            <v>191250</v>
          </cell>
          <cell r="M135">
            <v>0</v>
          </cell>
          <cell r="N135">
            <v>191250</v>
          </cell>
          <cell r="O135">
            <v>191250</v>
          </cell>
          <cell r="P135">
            <v>191250</v>
          </cell>
          <cell r="Q135">
            <v>22211</v>
          </cell>
        </row>
        <row r="136">
          <cell r="C136">
            <v>31</v>
          </cell>
          <cell r="D136" t="str">
            <v>F</v>
          </cell>
          <cell r="E136">
            <v>43</v>
          </cell>
          <cell r="F136">
            <v>8.4350000000000005</v>
          </cell>
          <cell r="G136">
            <v>6554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C137">
            <v>93</v>
          </cell>
          <cell r="D137" t="str">
            <v>F</v>
          </cell>
          <cell r="E137">
            <v>52</v>
          </cell>
          <cell r="F137">
            <v>8.5060000000000002</v>
          </cell>
          <cell r="G137">
            <v>6643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C138">
            <v>97</v>
          </cell>
          <cell r="D138" t="str">
            <v>M</v>
          </cell>
          <cell r="E138">
            <v>44</v>
          </cell>
          <cell r="F138">
            <v>8.0269999999999992</v>
          </cell>
          <cell r="G138">
            <v>10560</v>
          </cell>
          <cell r="H138">
            <v>42385</v>
          </cell>
          <cell r="I138">
            <v>16392</v>
          </cell>
          <cell r="J138">
            <v>16392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2017</v>
          </cell>
        </row>
        <row r="139">
          <cell r="C139">
            <v>107</v>
          </cell>
          <cell r="D139" t="str">
            <v>M</v>
          </cell>
          <cell r="E139">
            <v>34</v>
          </cell>
          <cell r="F139">
            <v>8.0459999999999994</v>
          </cell>
          <cell r="G139">
            <v>15150</v>
          </cell>
          <cell r="H139">
            <v>60953</v>
          </cell>
          <cell r="I139">
            <v>18856</v>
          </cell>
          <cell r="J139">
            <v>18856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2316</v>
          </cell>
        </row>
        <row r="140">
          <cell r="C140">
            <v>116</v>
          </cell>
          <cell r="D140" t="str">
            <v>F</v>
          </cell>
          <cell r="E140">
            <v>54</v>
          </cell>
          <cell r="F140">
            <v>8.5060000000000002</v>
          </cell>
          <cell r="G140">
            <v>17700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C141">
            <v>138</v>
          </cell>
          <cell r="D141" t="str">
            <v>M</v>
          </cell>
          <cell r="E141">
            <v>57</v>
          </cell>
          <cell r="F141">
            <v>8.4350000000000005</v>
          </cell>
          <cell r="G141">
            <v>17939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C142" t="str">
            <v>All</v>
          </cell>
          <cell r="G142">
            <v>108999</v>
          </cell>
          <cell r="H142">
            <v>266105</v>
          </cell>
          <cell r="I142">
            <v>212598</v>
          </cell>
          <cell r="J142">
            <v>226498</v>
          </cell>
          <cell r="K142">
            <v>191250</v>
          </cell>
          <cell r="L142">
            <v>191250</v>
          </cell>
          <cell r="M142">
            <v>0</v>
          </cell>
          <cell r="N142">
            <v>191250</v>
          </cell>
          <cell r="O142">
            <v>191250</v>
          </cell>
          <cell r="P142">
            <v>191250</v>
          </cell>
          <cell r="Q142">
            <v>26544</v>
          </cell>
        </row>
        <row r="145">
          <cell r="C145" t="str">
            <v>Valuation Date 31DEC2024, Scenario=0,Prob Scenario=0,RFScenario=1,Inflation=0, Reporting Group I</v>
          </cell>
        </row>
        <row r="146">
          <cell r="G146" t="str">
            <v>Last Monthly Salary For Severance</v>
          </cell>
          <cell r="H146" t="str">
            <v>Pitzuim</v>
          </cell>
          <cell r="I146" t="str">
            <v>Salary Value</v>
          </cell>
          <cell r="J146" t="str">
            <v>Salary Value Final</v>
          </cell>
          <cell r="K146" t="str">
            <v>Severance Pay Fund</v>
          </cell>
          <cell r="L146" t="str">
            <v>Severance Pay Fund Value1</v>
          </cell>
          <cell r="M146" t="str">
            <v>Severance Pay Fund0</v>
          </cell>
          <cell r="N146" t="str">
            <v>Severance Pay Fund Value</v>
          </cell>
          <cell r="O146" t="str">
            <v>Severance Pay Fund Value Final</v>
          </cell>
          <cell r="P146" t="str">
            <v>Severance Pay Fund Value Final 2</v>
          </cell>
          <cell r="Q146" t="str">
            <v>Current Service Cost final</v>
          </cell>
        </row>
        <row r="147">
          <cell r="C147" t="str">
            <v>Unique Identity Number</v>
          </cell>
          <cell r="D147" t="str">
            <v>Gender</v>
          </cell>
          <cell r="E147" t="str">
            <v>Age</v>
          </cell>
          <cell r="F147" t="str">
            <v>Seniority in Yrs</v>
          </cell>
          <cell r="G147">
            <v>19666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C148">
            <v>7</v>
          </cell>
          <cell r="D148" t="str">
            <v>F</v>
          </cell>
          <cell r="E148">
            <v>60</v>
          </cell>
          <cell r="F148">
            <v>7.08</v>
          </cell>
        </row>
        <row r="149">
          <cell r="C149">
            <v>10</v>
          </cell>
          <cell r="D149" t="str">
            <v>M</v>
          </cell>
          <cell r="E149">
            <v>55</v>
          </cell>
          <cell r="F149">
            <v>7.9450000000000003</v>
          </cell>
          <cell r="G149">
            <v>7580</v>
          </cell>
          <cell r="H149">
            <v>16862</v>
          </cell>
          <cell r="I149">
            <v>10830</v>
          </cell>
          <cell r="J149">
            <v>10830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1347</v>
          </cell>
        </row>
        <row r="150">
          <cell r="C150">
            <v>19</v>
          </cell>
          <cell r="D150" t="str">
            <v>M</v>
          </cell>
          <cell r="E150">
            <v>56</v>
          </cell>
          <cell r="F150">
            <v>7.7590000000000003</v>
          </cell>
          <cell r="G150">
            <v>17939</v>
          </cell>
          <cell r="H150">
            <v>0</v>
          </cell>
          <cell r="I150">
            <v>13198</v>
          </cell>
          <cell r="J150">
            <v>38250</v>
          </cell>
          <cell r="K150">
            <v>38250</v>
          </cell>
          <cell r="L150">
            <v>38250</v>
          </cell>
          <cell r="M150">
            <v>0</v>
          </cell>
          <cell r="N150">
            <v>38250</v>
          </cell>
          <cell r="O150">
            <v>38250</v>
          </cell>
          <cell r="P150">
            <v>38250</v>
          </cell>
          <cell r="Q150">
            <v>0</v>
          </cell>
        </row>
        <row r="151">
          <cell r="C151">
            <v>24</v>
          </cell>
          <cell r="D151" t="str">
            <v>M</v>
          </cell>
          <cell r="E151">
            <v>48</v>
          </cell>
          <cell r="F151">
            <v>7.7530000000000001</v>
          </cell>
          <cell r="G151">
            <v>20250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C152">
            <v>26</v>
          </cell>
          <cell r="D152" t="str">
            <v>F</v>
          </cell>
          <cell r="E152">
            <v>53</v>
          </cell>
          <cell r="F152">
            <v>7.6269999999999998</v>
          </cell>
          <cell r="G152">
            <v>17757</v>
          </cell>
          <cell r="H152">
            <v>0</v>
          </cell>
          <cell r="I152">
            <v>14263</v>
          </cell>
          <cell r="J152">
            <v>35000</v>
          </cell>
          <cell r="K152">
            <v>35000</v>
          </cell>
          <cell r="L152">
            <v>35000</v>
          </cell>
          <cell r="M152">
            <v>0</v>
          </cell>
          <cell r="N152">
            <v>35000</v>
          </cell>
          <cell r="O152">
            <v>35000</v>
          </cell>
          <cell r="P152">
            <v>35000</v>
          </cell>
          <cell r="Q152">
            <v>0</v>
          </cell>
        </row>
        <row r="153">
          <cell r="C153">
            <v>42</v>
          </cell>
          <cell r="D153" t="str">
            <v>F</v>
          </cell>
          <cell r="E153">
            <v>31</v>
          </cell>
          <cell r="F153">
            <v>7.9089999999999998</v>
          </cell>
          <cell r="G153">
            <v>6783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C154">
            <v>45</v>
          </cell>
          <cell r="D154" t="str">
            <v>F</v>
          </cell>
          <cell r="E154">
            <v>29</v>
          </cell>
          <cell r="F154">
            <v>7.9039999999999999</v>
          </cell>
          <cell r="G154">
            <v>6185</v>
          </cell>
          <cell r="H154">
            <v>13689</v>
          </cell>
          <cell r="I154">
            <v>3989</v>
          </cell>
          <cell r="J154">
            <v>3989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499</v>
          </cell>
        </row>
        <row r="155">
          <cell r="C155">
            <v>71</v>
          </cell>
          <cell r="D155" t="str">
            <v>M</v>
          </cell>
          <cell r="E155">
            <v>58</v>
          </cell>
          <cell r="F155">
            <v>7.3339999999999996</v>
          </cell>
          <cell r="G155">
            <v>19134</v>
          </cell>
          <cell r="H155">
            <v>39297</v>
          </cell>
          <cell r="I155">
            <v>29041</v>
          </cell>
          <cell r="J155">
            <v>29041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3913</v>
          </cell>
        </row>
        <row r="156">
          <cell r="C156">
            <v>79</v>
          </cell>
          <cell r="D156" t="str">
            <v>F</v>
          </cell>
          <cell r="E156">
            <v>57</v>
          </cell>
          <cell r="F156">
            <v>7.2960000000000003</v>
          </cell>
          <cell r="G156">
            <v>9731</v>
          </cell>
          <cell r="H156">
            <v>19881</v>
          </cell>
          <cell r="I156">
            <v>14714</v>
          </cell>
          <cell r="J156">
            <v>14714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1994</v>
          </cell>
        </row>
        <row r="157">
          <cell r="C157">
            <v>88</v>
          </cell>
          <cell r="D157" t="str">
            <v>F</v>
          </cell>
          <cell r="E157">
            <v>49</v>
          </cell>
          <cell r="F157">
            <v>7.0469999999999997</v>
          </cell>
          <cell r="G157">
            <v>15150</v>
          </cell>
          <cell r="H157">
            <v>53383</v>
          </cell>
          <cell r="I157">
            <v>26792</v>
          </cell>
          <cell r="J157">
            <v>26792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3756</v>
          </cell>
        </row>
        <row r="158">
          <cell r="C158">
            <v>92</v>
          </cell>
          <cell r="D158" t="str">
            <v>M</v>
          </cell>
          <cell r="E158">
            <v>53</v>
          </cell>
          <cell r="F158">
            <v>7.03</v>
          </cell>
          <cell r="G158">
            <v>7715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C159">
            <v>96</v>
          </cell>
          <cell r="D159" t="str">
            <v>M</v>
          </cell>
          <cell r="E159">
            <v>44</v>
          </cell>
          <cell r="F159">
            <v>7.923</v>
          </cell>
          <cell r="G159">
            <v>13556</v>
          </cell>
          <cell r="H159">
            <v>53705</v>
          </cell>
          <cell r="I159">
            <v>20690</v>
          </cell>
          <cell r="J159">
            <v>20690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2580</v>
          </cell>
        </row>
        <row r="160">
          <cell r="C160">
            <v>100</v>
          </cell>
          <cell r="D160" t="str">
            <v>M</v>
          </cell>
          <cell r="E160">
            <v>55</v>
          </cell>
          <cell r="F160">
            <v>7.556</v>
          </cell>
          <cell r="G160">
            <v>26625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C161">
            <v>102</v>
          </cell>
          <cell r="D161" t="str">
            <v>M</v>
          </cell>
          <cell r="E161">
            <v>41</v>
          </cell>
          <cell r="F161">
            <v>7.4139999999999997</v>
          </cell>
          <cell r="G161">
            <v>12919</v>
          </cell>
          <cell r="H161">
            <v>47890</v>
          </cell>
          <cell r="I161">
            <v>17049</v>
          </cell>
          <cell r="J161">
            <v>17049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2272</v>
          </cell>
        </row>
        <row r="162">
          <cell r="C162">
            <v>103</v>
          </cell>
          <cell r="D162" t="str">
            <v>M</v>
          </cell>
          <cell r="E162">
            <v>40</v>
          </cell>
          <cell r="F162">
            <v>7.375</v>
          </cell>
          <cell r="G162">
            <v>16226</v>
          </cell>
          <cell r="H162">
            <v>59839</v>
          </cell>
          <cell r="I162">
            <v>20843</v>
          </cell>
          <cell r="J162">
            <v>20843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2792</v>
          </cell>
        </row>
        <row r="163">
          <cell r="C163">
            <v>104</v>
          </cell>
          <cell r="D163" t="str">
            <v>M</v>
          </cell>
          <cell r="E163">
            <v>39</v>
          </cell>
          <cell r="F163">
            <v>7.17</v>
          </cell>
          <cell r="G163">
            <v>8456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C164">
            <v>105</v>
          </cell>
          <cell r="D164" t="str">
            <v>M</v>
          </cell>
          <cell r="E164">
            <v>39</v>
          </cell>
          <cell r="F164">
            <v>7.8239999999999998</v>
          </cell>
          <cell r="G164">
            <v>9950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C165">
            <v>106</v>
          </cell>
          <cell r="D165" t="str">
            <v>F</v>
          </cell>
          <cell r="E165">
            <v>39</v>
          </cell>
          <cell r="F165">
            <v>7.7530000000000001</v>
          </cell>
          <cell r="G165">
            <v>13556</v>
          </cell>
          <cell r="H165">
            <v>52555</v>
          </cell>
          <cell r="I165">
            <v>17929</v>
          </cell>
          <cell r="J165">
            <v>17929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2284</v>
          </cell>
        </row>
        <row r="166">
          <cell r="C166">
            <v>109</v>
          </cell>
          <cell r="D166" t="str">
            <v>M</v>
          </cell>
          <cell r="E166">
            <v>50</v>
          </cell>
          <cell r="F166">
            <v>7.3559999999999999</v>
          </cell>
          <cell r="G166">
            <v>15030</v>
          </cell>
          <cell r="H166">
            <v>55287</v>
          </cell>
          <cell r="I166">
            <v>28064</v>
          </cell>
          <cell r="J166">
            <v>28064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3767</v>
          </cell>
        </row>
        <row r="167">
          <cell r="C167">
            <v>110</v>
          </cell>
          <cell r="D167" t="str">
            <v>F</v>
          </cell>
          <cell r="E167">
            <v>58</v>
          </cell>
          <cell r="F167">
            <v>7.6269999999999998</v>
          </cell>
          <cell r="G167">
            <v>18656</v>
          </cell>
          <cell r="H167">
            <v>71152</v>
          </cell>
          <cell r="I167">
            <v>57397</v>
          </cell>
          <cell r="J167">
            <v>57397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7440</v>
          </cell>
        </row>
        <row r="168">
          <cell r="C168">
            <v>113</v>
          </cell>
          <cell r="D168" t="str">
            <v>M</v>
          </cell>
          <cell r="E168">
            <v>39</v>
          </cell>
          <cell r="F168">
            <v>7.8819999999999997</v>
          </cell>
          <cell r="G168">
            <v>14831</v>
          </cell>
          <cell r="H168">
            <v>58452</v>
          </cell>
          <cell r="I168">
            <v>19752</v>
          </cell>
          <cell r="J168">
            <v>19752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2476</v>
          </cell>
        </row>
        <row r="169">
          <cell r="C169">
            <v>140</v>
          </cell>
          <cell r="D169" t="str">
            <v>F</v>
          </cell>
          <cell r="E169">
            <v>50</v>
          </cell>
          <cell r="F169">
            <v>7.452</v>
          </cell>
          <cell r="G169">
            <v>5747</v>
          </cell>
          <cell r="H169">
            <v>42828</v>
          </cell>
          <cell r="I169">
            <v>26750</v>
          </cell>
          <cell r="J169">
            <v>26750</v>
          </cell>
          <cell r="K169">
            <v>8040</v>
          </cell>
          <cell r="L169">
            <v>8040</v>
          </cell>
          <cell r="M169">
            <v>0</v>
          </cell>
          <cell r="N169">
            <v>8040</v>
          </cell>
          <cell r="O169">
            <v>8040</v>
          </cell>
          <cell r="P169">
            <v>8040</v>
          </cell>
          <cell r="Q169">
            <v>3545</v>
          </cell>
        </row>
        <row r="170">
          <cell r="C170">
            <v>144</v>
          </cell>
          <cell r="D170" t="str">
            <v>M</v>
          </cell>
          <cell r="E170">
            <v>44</v>
          </cell>
          <cell r="F170">
            <v>7.085</v>
          </cell>
          <cell r="G170">
            <v>19106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C171" t="str">
            <v>All</v>
          </cell>
          <cell r="G171">
            <v>322550</v>
          </cell>
          <cell r="H171">
            <v>584820</v>
          </cell>
          <cell r="I171">
            <v>321301</v>
          </cell>
          <cell r="J171">
            <v>367090</v>
          </cell>
          <cell r="K171">
            <v>81290</v>
          </cell>
          <cell r="L171">
            <v>81290</v>
          </cell>
          <cell r="M171">
            <v>0</v>
          </cell>
          <cell r="N171">
            <v>81290</v>
          </cell>
          <cell r="O171">
            <v>81290</v>
          </cell>
          <cell r="P171">
            <v>81290</v>
          </cell>
          <cell r="Q171">
            <v>38663</v>
          </cell>
        </row>
        <row r="175">
          <cell r="C175" t="str">
            <v>Valuation Date 31DEC2024, Scenario=0,Prob Scenario=0,RFScenario=1,Inflation=0, Reporting Group J</v>
          </cell>
        </row>
        <row r="176">
          <cell r="G176" t="str">
            <v>Last Monthly Salary For Severance</v>
          </cell>
          <cell r="H176" t="str">
            <v>Pitzuim</v>
          </cell>
          <cell r="I176" t="str">
            <v>Salary Value</v>
          </cell>
          <cell r="J176" t="str">
            <v>Salary Value Final</v>
          </cell>
          <cell r="K176" t="str">
            <v>Severance Pay Fund</v>
          </cell>
          <cell r="L176" t="str">
            <v>Severance Pay Fund Value1</v>
          </cell>
          <cell r="M176" t="str">
            <v>Severance Pay Fund0</v>
          </cell>
          <cell r="N176" t="str">
            <v>Severance Pay Fund Value</v>
          </cell>
          <cell r="O176" t="str">
            <v>Severance Pay Fund Value Final</v>
          </cell>
          <cell r="P176" t="str">
            <v>Severance Pay Fund Value Final 2</v>
          </cell>
          <cell r="Q176" t="str">
            <v>Current Service Cost final</v>
          </cell>
        </row>
        <row r="177">
          <cell r="C177" t="str">
            <v>Unique Identity Number</v>
          </cell>
          <cell r="D177" t="str">
            <v>Gender</v>
          </cell>
          <cell r="E177" t="str">
            <v>Age</v>
          </cell>
          <cell r="F177" t="str">
            <v>Seniority in Yrs</v>
          </cell>
          <cell r="G177">
            <v>10369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C178">
            <v>43</v>
          </cell>
          <cell r="D178" t="str">
            <v>F</v>
          </cell>
          <cell r="E178">
            <v>46</v>
          </cell>
          <cell r="F178">
            <v>6.9859999999999998</v>
          </cell>
        </row>
        <row r="179">
          <cell r="C179">
            <v>50</v>
          </cell>
          <cell r="D179" t="str">
            <v>M</v>
          </cell>
          <cell r="E179">
            <v>59</v>
          </cell>
          <cell r="F179">
            <v>6.7619999999999996</v>
          </cell>
          <cell r="G179">
            <v>19134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C180">
            <v>77</v>
          </cell>
          <cell r="D180" t="str">
            <v>F</v>
          </cell>
          <cell r="E180">
            <v>54</v>
          </cell>
          <cell r="F180">
            <v>6.68</v>
          </cell>
          <cell r="G180">
            <v>12026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C181">
            <v>80</v>
          </cell>
          <cell r="D181" t="str">
            <v>F</v>
          </cell>
          <cell r="E181">
            <v>56</v>
          </cell>
          <cell r="F181">
            <v>6.68</v>
          </cell>
          <cell r="G181">
            <v>17381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C182">
            <v>82</v>
          </cell>
          <cell r="D182" t="str">
            <v>F</v>
          </cell>
          <cell r="E182">
            <v>53</v>
          </cell>
          <cell r="F182">
            <v>6.9539999999999997</v>
          </cell>
          <cell r="G182">
            <v>16744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C183">
            <v>84</v>
          </cell>
          <cell r="D183" t="str">
            <v>M</v>
          </cell>
          <cell r="E183">
            <v>52</v>
          </cell>
          <cell r="F183">
            <v>6.7619999999999996</v>
          </cell>
          <cell r="G183">
            <v>16106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C184">
            <v>95</v>
          </cell>
          <cell r="D184" t="str">
            <v>F</v>
          </cell>
          <cell r="E184">
            <v>45</v>
          </cell>
          <cell r="F184">
            <v>6.7510000000000003</v>
          </cell>
          <cell r="G184">
            <v>10050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C185">
            <v>121</v>
          </cell>
          <cell r="D185" t="str">
            <v>M</v>
          </cell>
          <cell r="E185">
            <v>58</v>
          </cell>
          <cell r="F185">
            <v>6.9240000000000004</v>
          </cell>
          <cell r="G185">
            <v>17541</v>
          </cell>
          <cell r="H185">
            <v>60726</v>
          </cell>
          <cell r="I185">
            <v>76493</v>
          </cell>
          <cell r="J185">
            <v>76493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10918</v>
          </cell>
        </row>
        <row r="186">
          <cell r="C186">
            <v>123</v>
          </cell>
          <cell r="D186" t="str">
            <v>M</v>
          </cell>
          <cell r="E186">
            <v>35</v>
          </cell>
          <cell r="F186">
            <v>6.9950000000000001</v>
          </cell>
          <cell r="G186">
            <v>5906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C187">
            <v>142</v>
          </cell>
          <cell r="D187" t="str">
            <v>M</v>
          </cell>
          <cell r="E187">
            <v>57</v>
          </cell>
          <cell r="F187">
            <v>6.9509999999999996</v>
          </cell>
          <cell r="G187">
            <v>7978</v>
          </cell>
          <cell r="H187">
            <v>55459</v>
          </cell>
          <cell r="I187">
            <v>41488</v>
          </cell>
          <cell r="J187">
            <v>41488</v>
          </cell>
          <cell r="K187">
            <v>9049</v>
          </cell>
          <cell r="L187">
            <v>9049</v>
          </cell>
          <cell r="M187">
            <v>0</v>
          </cell>
          <cell r="N187">
            <v>9049</v>
          </cell>
          <cell r="O187">
            <v>9049</v>
          </cell>
          <cell r="P187">
            <v>9049</v>
          </cell>
          <cell r="Q187">
            <v>5896</v>
          </cell>
        </row>
        <row r="188">
          <cell r="C188">
            <v>143</v>
          </cell>
          <cell r="D188" t="str">
            <v>F</v>
          </cell>
          <cell r="E188">
            <v>46</v>
          </cell>
          <cell r="F188">
            <v>6.8819999999999997</v>
          </cell>
          <cell r="G188">
            <v>5269</v>
          </cell>
          <cell r="H188">
            <v>36265</v>
          </cell>
          <cell r="I188">
            <v>17305</v>
          </cell>
          <cell r="J188">
            <v>17305</v>
          </cell>
          <cell r="K188">
            <v>3331</v>
          </cell>
          <cell r="L188">
            <v>3331</v>
          </cell>
          <cell r="M188">
            <v>0</v>
          </cell>
          <cell r="N188">
            <v>3331</v>
          </cell>
          <cell r="O188">
            <v>3331</v>
          </cell>
          <cell r="P188">
            <v>3331</v>
          </cell>
          <cell r="Q188">
            <v>2484</v>
          </cell>
        </row>
        <row r="189">
          <cell r="C189">
            <v>146</v>
          </cell>
          <cell r="D189" t="str">
            <v>F</v>
          </cell>
          <cell r="E189">
            <v>35</v>
          </cell>
          <cell r="F189">
            <v>6.6989999999999998</v>
          </cell>
          <cell r="G189">
            <v>8177</v>
          </cell>
          <cell r="H189">
            <v>54784</v>
          </cell>
          <cell r="I189">
            <v>22955</v>
          </cell>
          <cell r="J189">
            <v>22955</v>
          </cell>
          <cell r="K189">
            <v>8393</v>
          </cell>
          <cell r="L189">
            <v>8393</v>
          </cell>
          <cell r="M189">
            <v>0</v>
          </cell>
          <cell r="N189">
            <v>8393</v>
          </cell>
          <cell r="O189">
            <v>8393</v>
          </cell>
          <cell r="P189">
            <v>8393</v>
          </cell>
          <cell r="Q189">
            <v>3386</v>
          </cell>
        </row>
        <row r="190">
          <cell r="C190">
            <v>147</v>
          </cell>
          <cell r="D190" t="str">
            <v>M</v>
          </cell>
          <cell r="E190">
            <v>43</v>
          </cell>
          <cell r="F190">
            <v>6.8390000000000004</v>
          </cell>
          <cell r="G190">
            <v>9173</v>
          </cell>
          <cell r="H190">
            <v>62739</v>
          </cell>
          <cell r="I190">
            <v>29369</v>
          </cell>
          <cell r="J190">
            <v>29369</v>
          </cell>
          <cell r="K190">
            <v>9545</v>
          </cell>
          <cell r="L190">
            <v>9545</v>
          </cell>
          <cell r="M190">
            <v>0</v>
          </cell>
          <cell r="N190">
            <v>9545</v>
          </cell>
          <cell r="O190">
            <v>9545</v>
          </cell>
          <cell r="P190">
            <v>9545</v>
          </cell>
          <cell r="Q190">
            <v>4242</v>
          </cell>
        </row>
        <row r="191">
          <cell r="C191">
            <v>148</v>
          </cell>
          <cell r="D191" t="str">
            <v>M</v>
          </cell>
          <cell r="E191">
            <v>47</v>
          </cell>
          <cell r="F191">
            <v>6.819</v>
          </cell>
          <cell r="G191">
            <v>7181</v>
          </cell>
          <cell r="H191">
            <v>48976</v>
          </cell>
          <cell r="I191">
            <v>25678</v>
          </cell>
          <cell r="J191">
            <v>25678</v>
          </cell>
          <cell r="K191">
            <v>7923</v>
          </cell>
          <cell r="L191">
            <v>7923</v>
          </cell>
          <cell r="M191">
            <v>0</v>
          </cell>
          <cell r="N191">
            <v>7923</v>
          </cell>
          <cell r="O191">
            <v>7923</v>
          </cell>
          <cell r="P191">
            <v>7923</v>
          </cell>
          <cell r="Q191">
            <v>3718</v>
          </cell>
        </row>
        <row r="192">
          <cell r="C192">
            <v>149</v>
          </cell>
          <cell r="D192" t="str">
            <v>F</v>
          </cell>
          <cell r="E192">
            <v>42</v>
          </cell>
          <cell r="F192">
            <v>6.7210000000000001</v>
          </cell>
          <cell r="G192">
            <v>5109</v>
          </cell>
          <cell r="H192">
            <v>34342</v>
          </cell>
          <cell r="I192">
            <v>15827</v>
          </cell>
          <cell r="J192">
            <v>15827</v>
          </cell>
          <cell r="K192">
            <v>4908</v>
          </cell>
          <cell r="L192">
            <v>4908</v>
          </cell>
          <cell r="M192">
            <v>0</v>
          </cell>
          <cell r="N192">
            <v>4908</v>
          </cell>
          <cell r="O192">
            <v>4908</v>
          </cell>
          <cell r="P192">
            <v>4908</v>
          </cell>
          <cell r="Q192">
            <v>2326</v>
          </cell>
        </row>
        <row r="193">
          <cell r="C193">
            <v>150</v>
          </cell>
          <cell r="D193" t="str">
            <v>F</v>
          </cell>
          <cell r="E193">
            <v>33</v>
          </cell>
          <cell r="F193">
            <v>6.718</v>
          </cell>
          <cell r="G193">
            <v>5269</v>
          </cell>
          <cell r="H193">
            <v>35399</v>
          </cell>
          <cell r="I193">
            <v>14374</v>
          </cell>
          <cell r="J193">
            <v>14374</v>
          </cell>
          <cell r="K193">
            <v>5067</v>
          </cell>
          <cell r="L193">
            <v>5067</v>
          </cell>
          <cell r="M193">
            <v>0</v>
          </cell>
          <cell r="N193">
            <v>5067</v>
          </cell>
          <cell r="O193">
            <v>5067</v>
          </cell>
          <cell r="P193">
            <v>5067</v>
          </cell>
          <cell r="Q193">
            <v>2114</v>
          </cell>
        </row>
        <row r="194">
          <cell r="C194" t="str">
            <v>All</v>
          </cell>
          <cell r="G194">
            <v>173415</v>
          </cell>
          <cell r="H194">
            <v>388690</v>
          </cell>
          <cell r="I194">
            <v>243489</v>
          </cell>
          <cell r="J194">
            <v>243489</v>
          </cell>
          <cell r="K194">
            <v>48216</v>
          </cell>
          <cell r="L194">
            <v>48216</v>
          </cell>
          <cell r="M194">
            <v>0</v>
          </cell>
          <cell r="N194">
            <v>48216</v>
          </cell>
          <cell r="O194">
            <v>48216</v>
          </cell>
          <cell r="P194">
            <v>48216</v>
          </cell>
          <cell r="Q194">
            <v>35085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Sheet1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7134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40</v>
          </cell>
          <cell r="F25">
            <v>9.0619999999999994</v>
          </cell>
        </row>
        <row r="26">
          <cell r="C26">
            <v>2</v>
          </cell>
          <cell r="D26" t="str">
            <v>F</v>
          </cell>
          <cell r="E26">
            <v>40</v>
          </cell>
          <cell r="F26">
            <v>8.4789999999999992</v>
          </cell>
          <cell r="G26">
            <v>18291</v>
          </cell>
          <cell r="H26">
            <v>43425</v>
          </cell>
          <cell r="I26">
            <v>16749</v>
          </cell>
          <cell r="J26">
            <v>16749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1951</v>
          </cell>
        </row>
        <row r="27">
          <cell r="C27">
            <v>4</v>
          </cell>
          <cell r="D27" t="str">
            <v>F</v>
          </cell>
          <cell r="E27">
            <v>58</v>
          </cell>
          <cell r="F27">
            <v>20.486999999999998</v>
          </cell>
          <cell r="G27">
            <v>9525</v>
          </cell>
          <cell r="H27">
            <v>195142</v>
          </cell>
          <cell r="I27">
            <v>186358</v>
          </cell>
          <cell r="J27">
            <v>186358</v>
          </cell>
          <cell r="K27">
            <v>91035</v>
          </cell>
          <cell r="L27">
            <v>91035</v>
          </cell>
          <cell r="M27">
            <v>0</v>
          </cell>
          <cell r="N27">
            <v>91035</v>
          </cell>
          <cell r="O27">
            <v>91035</v>
          </cell>
          <cell r="P27">
            <v>91035</v>
          </cell>
          <cell r="Q27">
            <v>8997</v>
          </cell>
        </row>
        <row r="28">
          <cell r="C28">
            <v>7</v>
          </cell>
          <cell r="D28" t="str">
            <v>F</v>
          </cell>
          <cell r="E28">
            <v>58</v>
          </cell>
          <cell r="F28">
            <v>6.9950000000000001</v>
          </cell>
          <cell r="G28">
            <v>20416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9</v>
          </cell>
          <cell r="D29" t="str">
            <v>F</v>
          </cell>
          <cell r="E29">
            <v>53</v>
          </cell>
          <cell r="F29">
            <v>6.0880000000000001</v>
          </cell>
          <cell r="G29">
            <v>10083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10</v>
          </cell>
          <cell r="D30" t="str">
            <v>M</v>
          </cell>
          <cell r="E30">
            <v>52</v>
          </cell>
          <cell r="F30">
            <v>5.8609999999999998</v>
          </cell>
          <cell r="G30">
            <v>8330</v>
          </cell>
          <cell r="H30">
            <v>13671</v>
          </cell>
          <cell r="I30">
            <v>8659</v>
          </cell>
          <cell r="J30">
            <v>8659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1459</v>
          </cell>
        </row>
        <row r="31">
          <cell r="C31">
            <v>11</v>
          </cell>
          <cell r="D31" t="str">
            <v>M</v>
          </cell>
          <cell r="E31">
            <v>52</v>
          </cell>
          <cell r="F31">
            <v>20.334</v>
          </cell>
          <cell r="G31">
            <v>19884</v>
          </cell>
          <cell r="H31">
            <v>404329</v>
          </cell>
          <cell r="I31">
            <v>358973</v>
          </cell>
          <cell r="J31">
            <v>358973</v>
          </cell>
          <cell r="K31">
            <v>247095</v>
          </cell>
          <cell r="L31">
            <v>247095</v>
          </cell>
          <cell r="M31">
            <v>0</v>
          </cell>
          <cell r="N31">
            <v>247095</v>
          </cell>
          <cell r="O31">
            <v>247095</v>
          </cell>
          <cell r="P31">
            <v>247095</v>
          </cell>
          <cell r="Q31">
            <v>17434</v>
          </cell>
        </row>
        <row r="32">
          <cell r="C32">
            <v>12</v>
          </cell>
          <cell r="D32" t="str">
            <v>M</v>
          </cell>
          <cell r="E32">
            <v>52</v>
          </cell>
          <cell r="F32">
            <v>5.9489999999999998</v>
          </cell>
          <cell r="G32">
            <v>6736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13</v>
          </cell>
          <cell r="D33" t="str">
            <v>M</v>
          </cell>
          <cell r="E33">
            <v>52</v>
          </cell>
          <cell r="F33">
            <v>22.477</v>
          </cell>
          <cell r="G33">
            <v>21080</v>
          </cell>
          <cell r="H33">
            <v>0</v>
          </cell>
          <cell r="I33">
            <v>70852</v>
          </cell>
          <cell r="J33">
            <v>162563</v>
          </cell>
          <cell r="K33">
            <v>162563</v>
          </cell>
          <cell r="L33">
            <v>162563</v>
          </cell>
          <cell r="M33">
            <v>0</v>
          </cell>
          <cell r="N33">
            <v>162563</v>
          </cell>
          <cell r="O33">
            <v>162563</v>
          </cell>
          <cell r="P33">
            <v>162563</v>
          </cell>
          <cell r="Q33">
            <v>0</v>
          </cell>
        </row>
        <row r="34">
          <cell r="C34">
            <v>15</v>
          </cell>
          <cell r="D34" t="str">
            <v>M</v>
          </cell>
          <cell r="E34">
            <v>55</v>
          </cell>
          <cell r="F34">
            <v>11.391999999999999</v>
          </cell>
          <cell r="G34">
            <v>27375</v>
          </cell>
          <cell r="H34">
            <v>87321</v>
          </cell>
          <cell r="I34">
            <v>63623</v>
          </cell>
          <cell r="J34">
            <v>63623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5517</v>
          </cell>
        </row>
        <row r="35">
          <cell r="C35">
            <v>16</v>
          </cell>
          <cell r="D35" t="str">
            <v>F</v>
          </cell>
          <cell r="E35">
            <v>54</v>
          </cell>
          <cell r="F35">
            <v>21.507999999999999</v>
          </cell>
          <cell r="G35">
            <v>8728</v>
          </cell>
          <cell r="H35">
            <v>52564</v>
          </cell>
          <cell r="I35">
            <v>72115</v>
          </cell>
          <cell r="J35">
            <v>97538</v>
          </cell>
          <cell r="K35">
            <v>97538</v>
          </cell>
          <cell r="L35">
            <v>97538</v>
          </cell>
          <cell r="M35">
            <v>0</v>
          </cell>
          <cell r="N35">
            <v>97538</v>
          </cell>
          <cell r="O35">
            <v>97538</v>
          </cell>
          <cell r="P35">
            <v>97538</v>
          </cell>
          <cell r="Q35">
            <v>4482</v>
          </cell>
        </row>
        <row r="36">
          <cell r="C36">
            <v>17</v>
          </cell>
          <cell r="D36" t="str">
            <v>F</v>
          </cell>
          <cell r="E36">
            <v>55</v>
          </cell>
          <cell r="F36">
            <v>16.457000000000001</v>
          </cell>
          <cell r="G36">
            <v>15502</v>
          </cell>
          <cell r="H36">
            <v>71432</v>
          </cell>
          <cell r="I36">
            <v>54291</v>
          </cell>
          <cell r="J36">
            <v>54291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3260</v>
          </cell>
        </row>
        <row r="37">
          <cell r="C37">
            <v>18</v>
          </cell>
          <cell r="D37" t="str">
            <v>F</v>
          </cell>
          <cell r="E37">
            <v>55</v>
          </cell>
          <cell r="F37">
            <v>11.840999999999999</v>
          </cell>
          <cell r="G37">
            <v>19088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19</v>
          </cell>
          <cell r="D38" t="str">
            <v>M</v>
          </cell>
          <cell r="E38">
            <v>54</v>
          </cell>
          <cell r="F38">
            <v>5.6749999999999998</v>
          </cell>
          <cell r="G38">
            <v>18689</v>
          </cell>
          <cell r="H38">
            <v>0</v>
          </cell>
          <cell r="I38">
            <v>12358</v>
          </cell>
          <cell r="J38">
            <v>32513</v>
          </cell>
          <cell r="K38">
            <v>32513</v>
          </cell>
          <cell r="L38">
            <v>32513</v>
          </cell>
          <cell r="M38">
            <v>0</v>
          </cell>
          <cell r="N38">
            <v>32513</v>
          </cell>
          <cell r="O38">
            <v>32513</v>
          </cell>
          <cell r="P38">
            <v>32513</v>
          </cell>
          <cell r="Q38">
            <v>0</v>
          </cell>
        </row>
        <row r="39">
          <cell r="C39">
            <v>21</v>
          </cell>
          <cell r="D39" t="str">
            <v>M</v>
          </cell>
          <cell r="E39">
            <v>54</v>
          </cell>
          <cell r="F39">
            <v>21.507999999999999</v>
          </cell>
          <cell r="G39">
            <v>17494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22</v>
          </cell>
          <cell r="D40" t="str">
            <v>F</v>
          </cell>
          <cell r="E40">
            <v>53</v>
          </cell>
          <cell r="F40">
            <v>11.561</v>
          </cell>
          <cell r="G40">
            <v>40125</v>
          </cell>
          <cell r="H40">
            <v>129899</v>
          </cell>
          <cell r="I40">
            <v>158994</v>
          </cell>
          <cell r="J40">
            <v>182070</v>
          </cell>
          <cell r="K40">
            <v>182070</v>
          </cell>
          <cell r="L40">
            <v>182070</v>
          </cell>
          <cell r="M40">
            <v>0</v>
          </cell>
          <cell r="N40">
            <v>182070</v>
          </cell>
          <cell r="O40">
            <v>182070</v>
          </cell>
          <cell r="P40">
            <v>182070</v>
          </cell>
          <cell r="Q40">
            <v>15563</v>
          </cell>
        </row>
        <row r="41">
          <cell r="C41">
            <v>24</v>
          </cell>
          <cell r="D41" t="str">
            <v>M</v>
          </cell>
          <cell r="E41">
            <v>46</v>
          </cell>
          <cell r="F41">
            <v>5.6719999999999997</v>
          </cell>
          <cell r="G41">
            <v>21000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25</v>
          </cell>
          <cell r="D42" t="str">
            <v>M</v>
          </cell>
          <cell r="E42">
            <v>51</v>
          </cell>
          <cell r="F42">
            <v>11.676</v>
          </cell>
          <cell r="G42">
            <v>8330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26</v>
          </cell>
          <cell r="D43" t="str">
            <v>F</v>
          </cell>
          <cell r="E43">
            <v>51</v>
          </cell>
          <cell r="F43">
            <v>5.5439999999999996</v>
          </cell>
          <cell r="G43">
            <v>18507</v>
          </cell>
          <cell r="H43">
            <v>0</v>
          </cell>
          <cell r="I43">
            <v>51451</v>
          </cell>
          <cell r="J43">
            <v>117045</v>
          </cell>
          <cell r="K43">
            <v>117045</v>
          </cell>
          <cell r="L43">
            <v>117045</v>
          </cell>
          <cell r="M43">
            <v>0</v>
          </cell>
          <cell r="N43">
            <v>117045</v>
          </cell>
          <cell r="O43">
            <v>117045</v>
          </cell>
          <cell r="P43">
            <v>117045</v>
          </cell>
          <cell r="Q43">
            <v>0</v>
          </cell>
        </row>
        <row r="44">
          <cell r="C44">
            <v>27</v>
          </cell>
          <cell r="D44" t="str">
            <v>M</v>
          </cell>
          <cell r="E44">
            <v>49</v>
          </cell>
          <cell r="F44">
            <v>16.457000000000001</v>
          </cell>
          <cell r="G44">
            <v>10322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28</v>
          </cell>
          <cell r="D45" t="str">
            <v>F</v>
          </cell>
          <cell r="E45">
            <v>49</v>
          </cell>
          <cell r="F45">
            <v>6.4249999999999998</v>
          </cell>
          <cell r="G45">
            <v>19884</v>
          </cell>
          <cell r="H45">
            <v>127772</v>
          </cell>
          <cell r="I45">
            <v>152979</v>
          </cell>
          <cell r="J45">
            <v>162563</v>
          </cell>
          <cell r="K45">
            <v>162563</v>
          </cell>
          <cell r="L45">
            <v>162563</v>
          </cell>
          <cell r="M45">
            <v>0</v>
          </cell>
          <cell r="N45">
            <v>162563</v>
          </cell>
          <cell r="O45">
            <v>162563</v>
          </cell>
          <cell r="P45">
            <v>162563</v>
          </cell>
          <cell r="Q45">
            <v>24993</v>
          </cell>
        </row>
        <row r="46">
          <cell r="C46">
            <v>30</v>
          </cell>
          <cell r="D46" t="str">
            <v>M</v>
          </cell>
          <cell r="E46">
            <v>45</v>
          </cell>
          <cell r="F46">
            <v>7.69</v>
          </cell>
          <cell r="G46">
            <v>8728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31</v>
          </cell>
          <cell r="D47" t="str">
            <v>F</v>
          </cell>
          <cell r="E47">
            <v>41</v>
          </cell>
          <cell r="F47">
            <v>6.351</v>
          </cell>
          <cell r="G47">
            <v>7304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32</v>
          </cell>
          <cell r="D48" t="str">
            <v>M</v>
          </cell>
          <cell r="E48">
            <v>41</v>
          </cell>
          <cell r="F48">
            <v>14.872</v>
          </cell>
          <cell r="G48">
            <v>15103</v>
          </cell>
          <cell r="H48">
            <v>224614</v>
          </cell>
          <cell r="I48">
            <v>163102</v>
          </cell>
          <cell r="J48">
            <v>163102</v>
          </cell>
          <cell r="K48">
            <v>117045</v>
          </cell>
          <cell r="L48">
            <v>117045</v>
          </cell>
          <cell r="M48">
            <v>0</v>
          </cell>
          <cell r="N48">
            <v>117045</v>
          </cell>
          <cell r="O48">
            <v>117045</v>
          </cell>
          <cell r="P48">
            <v>117045</v>
          </cell>
          <cell r="Q48">
            <v>10834</v>
          </cell>
        </row>
        <row r="49">
          <cell r="C49">
            <v>33</v>
          </cell>
          <cell r="D49" t="str">
            <v>F</v>
          </cell>
          <cell r="E49">
            <v>40</v>
          </cell>
          <cell r="F49">
            <v>15.425000000000001</v>
          </cell>
          <cell r="G49">
            <v>6875</v>
          </cell>
          <cell r="H49">
            <v>106053</v>
          </cell>
          <cell r="I49">
            <v>74723</v>
          </cell>
          <cell r="J49">
            <v>74723</v>
          </cell>
          <cell r="K49">
            <v>52020</v>
          </cell>
          <cell r="L49">
            <v>52020</v>
          </cell>
          <cell r="M49">
            <v>0</v>
          </cell>
          <cell r="N49">
            <v>52020</v>
          </cell>
          <cell r="O49">
            <v>52020</v>
          </cell>
          <cell r="P49">
            <v>52020</v>
          </cell>
          <cell r="Q49">
            <v>4786</v>
          </cell>
        </row>
        <row r="50">
          <cell r="C50">
            <v>34</v>
          </cell>
          <cell r="D50" t="str">
            <v>M</v>
          </cell>
          <cell r="E50">
            <v>46</v>
          </cell>
          <cell r="F50">
            <v>20.585000000000001</v>
          </cell>
          <cell r="G50">
            <v>22275</v>
          </cell>
          <cell r="H50">
            <v>0</v>
          </cell>
          <cell r="I50">
            <v>90522</v>
          </cell>
          <cell r="J50">
            <v>156060</v>
          </cell>
          <cell r="K50">
            <v>156060</v>
          </cell>
          <cell r="L50">
            <v>156060</v>
          </cell>
          <cell r="M50">
            <v>0</v>
          </cell>
          <cell r="N50">
            <v>156060</v>
          </cell>
          <cell r="O50">
            <v>156060</v>
          </cell>
          <cell r="P50">
            <v>156060</v>
          </cell>
          <cell r="Q50">
            <v>0</v>
          </cell>
        </row>
        <row r="51">
          <cell r="C51">
            <v>36</v>
          </cell>
          <cell r="D51" t="str">
            <v>M</v>
          </cell>
          <cell r="E51">
            <v>50</v>
          </cell>
          <cell r="F51">
            <v>13.086</v>
          </cell>
          <cell r="G51">
            <v>7134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37</v>
          </cell>
          <cell r="D52" t="str">
            <v>M</v>
          </cell>
          <cell r="E52">
            <v>49</v>
          </cell>
          <cell r="F52">
            <v>16.167000000000002</v>
          </cell>
          <cell r="G52">
            <v>14705</v>
          </cell>
          <cell r="H52">
            <v>0</v>
          </cell>
          <cell r="I52">
            <v>49904</v>
          </cell>
          <cell r="J52">
            <v>97538</v>
          </cell>
          <cell r="K52">
            <v>97538</v>
          </cell>
          <cell r="L52">
            <v>97538</v>
          </cell>
          <cell r="M52">
            <v>0</v>
          </cell>
          <cell r="N52">
            <v>97538</v>
          </cell>
          <cell r="O52">
            <v>97538</v>
          </cell>
          <cell r="P52">
            <v>97538</v>
          </cell>
          <cell r="Q52">
            <v>0</v>
          </cell>
        </row>
        <row r="53">
          <cell r="C53">
            <v>38</v>
          </cell>
          <cell r="D53" t="str">
            <v>M</v>
          </cell>
          <cell r="E53">
            <v>49</v>
          </cell>
          <cell r="F53">
            <v>11.326000000000001</v>
          </cell>
          <cell r="G53">
            <v>12713</v>
          </cell>
          <cell r="H53">
            <v>40317</v>
          </cell>
          <cell r="I53">
            <v>22059</v>
          </cell>
          <cell r="J53">
            <v>22059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1923</v>
          </cell>
        </row>
        <row r="54">
          <cell r="C54">
            <v>39</v>
          </cell>
          <cell r="D54" t="str">
            <v>M</v>
          </cell>
          <cell r="E54">
            <v>41</v>
          </cell>
          <cell r="F54">
            <v>9.93</v>
          </cell>
          <cell r="G54">
            <v>9127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41</v>
          </cell>
          <cell r="D55" t="str">
            <v>F</v>
          </cell>
          <cell r="E55">
            <v>57</v>
          </cell>
          <cell r="F55">
            <v>21.253</v>
          </cell>
          <cell r="G55">
            <v>10959</v>
          </cell>
          <cell r="H55">
            <v>0</v>
          </cell>
          <cell r="I55">
            <v>12397</v>
          </cell>
          <cell r="J55">
            <v>52020</v>
          </cell>
          <cell r="K55">
            <v>52020</v>
          </cell>
          <cell r="L55">
            <v>52020</v>
          </cell>
          <cell r="M55">
            <v>0</v>
          </cell>
          <cell r="N55">
            <v>52020</v>
          </cell>
          <cell r="O55">
            <v>52020</v>
          </cell>
          <cell r="P55">
            <v>52020</v>
          </cell>
          <cell r="Q55">
            <v>0</v>
          </cell>
        </row>
        <row r="56">
          <cell r="C56">
            <v>42</v>
          </cell>
          <cell r="D56" t="str">
            <v>F</v>
          </cell>
          <cell r="E56">
            <v>29</v>
          </cell>
          <cell r="F56">
            <v>5.8339999999999996</v>
          </cell>
          <cell r="G56">
            <v>7533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43</v>
          </cell>
          <cell r="D57" t="str">
            <v>F</v>
          </cell>
          <cell r="E57">
            <v>44</v>
          </cell>
          <cell r="F57">
            <v>9.9019999999999992</v>
          </cell>
          <cell r="G57">
            <v>11119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C58">
            <v>44</v>
          </cell>
          <cell r="D58" t="str">
            <v>M</v>
          </cell>
          <cell r="E58">
            <v>50</v>
          </cell>
          <cell r="F58">
            <v>11.840999999999999</v>
          </cell>
          <cell r="G58">
            <v>11477</v>
          </cell>
          <cell r="H58">
            <v>38054</v>
          </cell>
          <cell r="I58">
            <v>22230</v>
          </cell>
          <cell r="J58">
            <v>22230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1854</v>
          </cell>
        </row>
        <row r="59">
          <cell r="C59">
            <v>45</v>
          </cell>
          <cell r="D59" t="str">
            <v>F</v>
          </cell>
          <cell r="E59">
            <v>27</v>
          </cell>
          <cell r="F59">
            <v>5.8280000000000003</v>
          </cell>
          <cell r="G59">
            <v>6935</v>
          </cell>
          <cell r="H59">
            <v>11319</v>
          </cell>
          <cell r="I59">
            <v>3325</v>
          </cell>
          <cell r="J59">
            <v>3325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564</v>
          </cell>
        </row>
        <row r="60">
          <cell r="C60">
            <v>46</v>
          </cell>
          <cell r="D60" t="str">
            <v>F</v>
          </cell>
          <cell r="E60">
            <v>57</v>
          </cell>
          <cell r="F60">
            <v>25.587</v>
          </cell>
          <cell r="G60">
            <v>12713</v>
          </cell>
          <cell r="H60">
            <v>325287</v>
          </cell>
          <cell r="I60">
            <v>325863</v>
          </cell>
          <cell r="J60">
            <v>325863</v>
          </cell>
          <cell r="K60">
            <v>227588</v>
          </cell>
          <cell r="L60">
            <v>227588</v>
          </cell>
          <cell r="M60">
            <v>0</v>
          </cell>
          <cell r="N60">
            <v>227588</v>
          </cell>
          <cell r="O60">
            <v>227588</v>
          </cell>
          <cell r="P60">
            <v>227588</v>
          </cell>
          <cell r="Q60">
            <v>12591</v>
          </cell>
        </row>
        <row r="61">
          <cell r="C61">
            <v>47</v>
          </cell>
          <cell r="D61" t="str">
            <v>F</v>
          </cell>
          <cell r="E61">
            <v>57</v>
          </cell>
          <cell r="F61">
            <v>8.8559999999999999</v>
          </cell>
          <cell r="G61">
            <v>8728</v>
          </cell>
          <cell r="H61">
            <v>21645</v>
          </cell>
          <cell r="I61">
            <v>17943</v>
          </cell>
          <cell r="J61">
            <v>17943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2003</v>
          </cell>
        </row>
        <row r="62">
          <cell r="C62">
            <v>48</v>
          </cell>
          <cell r="D62" t="str">
            <v>F</v>
          </cell>
          <cell r="E62">
            <v>51</v>
          </cell>
          <cell r="F62">
            <v>23.753</v>
          </cell>
          <cell r="G62">
            <v>12872</v>
          </cell>
          <cell r="H62">
            <v>85611</v>
          </cell>
          <cell r="I62">
            <v>88049</v>
          </cell>
          <cell r="J62">
            <v>88049</v>
          </cell>
          <cell r="K62">
            <v>78030</v>
          </cell>
          <cell r="L62">
            <v>78030</v>
          </cell>
          <cell r="M62">
            <v>0</v>
          </cell>
          <cell r="N62">
            <v>78030</v>
          </cell>
          <cell r="O62">
            <v>78030</v>
          </cell>
          <cell r="P62">
            <v>78030</v>
          </cell>
          <cell r="Q62">
            <v>3662</v>
          </cell>
        </row>
        <row r="63">
          <cell r="C63">
            <v>50</v>
          </cell>
          <cell r="D63" t="str">
            <v>M</v>
          </cell>
          <cell r="E63">
            <v>56</v>
          </cell>
          <cell r="F63">
            <v>5.6779999999999999</v>
          </cell>
          <cell r="G63">
            <v>19884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C64">
            <v>71</v>
          </cell>
          <cell r="D64" t="str">
            <v>M</v>
          </cell>
          <cell r="E64">
            <v>56</v>
          </cell>
          <cell r="F64">
            <v>5.2530000000000001</v>
          </cell>
          <cell r="G64">
            <v>19884</v>
          </cell>
          <cell r="H64">
            <v>29252</v>
          </cell>
          <cell r="I64">
            <v>22543</v>
          </cell>
          <cell r="J64">
            <v>22543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4239</v>
          </cell>
        </row>
        <row r="65">
          <cell r="C65">
            <v>72</v>
          </cell>
          <cell r="D65" t="str">
            <v>F</v>
          </cell>
          <cell r="E65">
            <v>53</v>
          </cell>
          <cell r="F65">
            <v>18.253</v>
          </cell>
          <cell r="G65">
            <v>27375</v>
          </cell>
          <cell r="H65">
            <v>499683</v>
          </cell>
          <cell r="I65">
            <v>468975</v>
          </cell>
          <cell r="J65">
            <v>468975</v>
          </cell>
          <cell r="K65">
            <v>325125</v>
          </cell>
          <cell r="L65">
            <v>325125</v>
          </cell>
          <cell r="M65">
            <v>0</v>
          </cell>
          <cell r="N65">
            <v>325125</v>
          </cell>
          <cell r="O65">
            <v>325125</v>
          </cell>
          <cell r="P65">
            <v>325125</v>
          </cell>
          <cell r="Q65">
            <v>25382</v>
          </cell>
        </row>
        <row r="66">
          <cell r="C66">
            <v>73</v>
          </cell>
          <cell r="D66" t="str">
            <v>F</v>
          </cell>
          <cell r="E66">
            <v>53</v>
          </cell>
          <cell r="F66">
            <v>21.544</v>
          </cell>
          <cell r="G66">
            <v>12075</v>
          </cell>
          <cell r="H66">
            <v>0</v>
          </cell>
          <cell r="I66">
            <v>29905</v>
          </cell>
          <cell r="J66">
            <v>78030</v>
          </cell>
          <cell r="K66">
            <v>78030</v>
          </cell>
          <cell r="L66">
            <v>78030</v>
          </cell>
          <cell r="M66">
            <v>0</v>
          </cell>
          <cell r="N66">
            <v>78030</v>
          </cell>
          <cell r="O66">
            <v>78030</v>
          </cell>
          <cell r="P66">
            <v>78030</v>
          </cell>
          <cell r="Q66">
            <v>0</v>
          </cell>
        </row>
        <row r="67">
          <cell r="C67">
            <v>74</v>
          </cell>
          <cell r="D67" t="str">
            <v>F</v>
          </cell>
          <cell r="E67">
            <v>53</v>
          </cell>
          <cell r="F67">
            <v>17.315999999999999</v>
          </cell>
          <cell r="G67">
            <v>14077</v>
          </cell>
          <cell r="H67">
            <v>243766</v>
          </cell>
          <cell r="I67">
            <v>230528</v>
          </cell>
          <cell r="J67">
            <v>230528</v>
          </cell>
          <cell r="K67">
            <v>162563</v>
          </cell>
          <cell r="L67">
            <v>162563</v>
          </cell>
          <cell r="M67">
            <v>0</v>
          </cell>
          <cell r="N67">
            <v>162563</v>
          </cell>
          <cell r="O67">
            <v>162563</v>
          </cell>
          <cell r="P67">
            <v>162563</v>
          </cell>
          <cell r="Q67">
            <v>13151</v>
          </cell>
        </row>
        <row r="68">
          <cell r="C68">
            <v>75</v>
          </cell>
          <cell r="D68" t="str">
            <v>F</v>
          </cell>
          <cell r="E68">
            <v>52</v>
          </cell>
          <cell r="F68">
            <v>16.213000000000001</v>
          </cell>
          <cell r="G68">
            <v>13207</v>
          </cell>
          <cell r="H68">
            <v>214125</v>
          </cell>
          <cell r="I68">
            <v>194465</v>
          </cell>
          <cell r="J68">
            <v>194465</v>
          </cell>
          <cell r="K68">
            <v>130050</v>
          </cell>
          <cell r="L68">
            <v>130050</v>
          </cell>
          <cell r="M68">
            <v>0</v>
          </cell>
          <cell r="N68">
            <v>130050</v>
          </cell>
          <cell r="O68">
            <v>130050</v>
          </cell>
          <cell r="P68">
            <v>130050</v>
          </cell>
          <cell r="Q68">
            <v>11849</v>
          </cell>
        </row>
        <row r="69">
          <cell r="C69">
            <v>76</v>
          </cell>
          <cell r="D69" t="str">
            <v>M</v>
          </cell>
          <cell r="E69">
            <v>51</v>
          </cell>
          <cell r="F69">
            <v>15.484999999999999</v>
          </cell>
          <cell r="G69">
            <v>15645</v>
          </cell>
          <cell r="H69">
            <v>242267</v>
          </cell>
          <cell r="I69">
            <v>213064</v>
          </cell>
          <cell r="J69">
            <v>213064</v>
          </cell>
          <cell r="K69">
            <v>143055</v>
          </cell>
          <cell r="L69">
            <v>143055</v>
          </cell>
          <cell r="M69">
            <v>0</v>
          </cell>
          <cell r="N69">
            <v>143055</v>
          </cell>
          <cell r="O69">
            <v>143055</v>
          </cell>
          <cell r="P69">
            <v>143055</v>
          </cell>
          <cell r="Q69">
            <v>13588</v>
          </cell>
        </row>
        <row r="70">
          <cell r="C70">
            <v>77</v>
          </cell>
          <cell r="D70" t="str">
            <v>F</v>
          </cell>
          <cell r="E70">
            <v>51</v>
          </cell>
          <cell r="F70">
            <v>7.5970000000000004</v>
          </cell>
          <cell r="G70">
            <v>12776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C71">
            <v>79</v>
          </cell>
          <cell r="D71" t="str">
            <v>F</v>
          </cell>
          <cell r="E71">
            <v>55</v>
          </cell>
          <cell r="F71">
            <v>5.2149999999999999</v>
          </cell>
          <cell r="G71">
            <v>10481</v>
          </cell>
          <cell r="H71">
            <v>15306</v>
          </cell>
          <cell r="I71">
            <v>11657</v>
          </cell>
          <cell r="J71">
            <v>11657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2209</v>
          </cell>
        </row>
        <row r="72">
          <cell r="C72">
            <v>80</v>
          </cell>
          <cell r="D72" t="str">
            <v>F</v>
          </cell>
          <cell r="E72">
            <v>54</v>
          </cell>
          <cell r="F72">
            <v>5.5979999999999999</v>
          </cell>
          <cell r="G72">
            <v>18131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81</v>
          </cell>
          <cell r="D73" t="str">
            <v>F</v>
          </cell>
          <cell r="E73">
            <v>51</v>
          </cell>
          <cell r="F73">
            <v>17.952000000000002</v>
          </cell>
          <cell r="G73">
            <v>12481</v>
          </cell>
          <cell r="H73">
            <v>62735</v>
          </cell>
          <cell r="I73">
            <v>139582</v>
          </cell>
          <cell r="J73">
            <v>227588</v>
          </cell>
          <cell r="K73">
            <v>227588</v>
          </cell>
          <cell r="L73">
            <v>227588</v>
          </cell>
          <cell r="M73">
            <v>0</v>
          </cell>
          <cell r="N73">
            <v>227588</v>
          </cell>
          <cell r="O73">
            <v>227588</v>
          </cell>
          <cell r="P73">
            <v>227588</v>
          </cell>
          <cell r="Q73">
            <v>12524</v>
          </cell>
        </row>
        <row r="74">
          <cell r="C74">
            <v>82</v>
          </cell>
          <cell r="D74" t="str">
            <v>F</v>
          </cell>
          <cell r="E74">
            <v>51</v>
          </cell>
          <cell r="F74">
            <v>6.8689999999999998</v>
          </cell>
          <cell r="G74">
            <v>17494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84</v>
          </cell>
          <cell r="D75" t="str">
            <v>M</v>
          </cell>
          <cell r="E75">
            <v>49</v>
          </cell>
          <cell r="F75">
            <v>6.6769999999999996</v>
          </cell>
          <cell r="G75">
            <v>16856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C76">
            <v>85</v>
          </cell>
          <cell r="D76" t="str">
            <v>F</v>
          </cell>
          <cell r="E76">
            <v>48</v>
          </cell>
          <cell r="F76">
            <v>14.297000000000001</v>
          </cell>
          <cell r="G76">
            <v>7931</v>
          </cell>
          <cell r="H76">
            <v>31750</v>
          </cell>
          <cell r="I76">
            <v>17565</v>
          </cell>
          <cell r="J76">
            <v>17565</v>
          </cell>
          <cell r="K76">
            <v>1301</v>
          </cell>
          <cell r="L76">
            <v>1301</v>
          </cell>
          <cell r="M76">
            <v>0</v>
          </cell>
          <cell r="N76">
            <v>1301</v>
          </cell>
          <cell r="O76">
            <v>1301</v>
          </cell>
          <cell r="P76">
            <v>1301</v>
          </cell>
          <cell r="Q76">
            <v>1214</v>
          </cell>
        </row>
        <row r="77">
          <cell r="C77">
            <v>86</v>
          </cell>
          <cell r="D77" t="str">
            <v>F</v>
          </cell>
          <cell r="E77">
            <v>48</v>
          </cell>
          <cell r="F77">
            <v>12.481</v>
          </cell>
          <cell r="G77">
            <v>13618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C78">
            <v>87</v>
          </cell>
          <cell r="D78" t="str">
            <v>M</v>
          </cell>
          <cell r="E78">
            <v>47</v>
          </cell>
          <cell r="F78">
            <v>11.561</v>
          </cell>
          <cell r="G78">
            <v>18291</v>
          </cell>
          <cell r="H78">
            <v>105738</v>
          </cell>
          <cell r="I78">
            <v>51793</v>
          </cell>
          <cell r="J78">
            <v>51793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4424</v>
          </cell>
        </row>
        <row r="79">
          <cell r="C79">
            <v>88</v>
          </cell>
          <cell r="D79" t="str">
            <v>F</v>
          </cell>
          <cell r="E79">
            <v>47</v>
          </cell>
          <cell r="F79">
            <v>6.9619999999999997</v>
          </cell>
          <cell r="G79">
            <v>15900</v>
          </cell>
          <cell r="H79">
            <v>55351</v>
          </cell>
          <cell r="I79">
            <v>27920</v>
          </cell>
          <cell r="J79">
            <v>27920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3962</v>
          </cell>
        </row>
        <row r="80">
          <cell r="C80">
            <v>90</v>
          </cell>
          <cell r="D80" t="str">
            <v>F</v>
          </cell>
          <cell r="E80">
            <v>41</v>
          </cell>
          <cell r="F80">
            <v>10.379</v>
          </cell>
          <cell r="G80">
            <v>16219</v>
          </cell>
          <cell r="H80">
            <v>0</v>
          </cell>
          <cell r="I80">
            <v>8334</v>
          </cell>
          <cell r="J80">
            <v>13005</v>
          </cell>
          <cell r="K80">
            <v>13005</v>
          </cell>
          <cell r="L80">
            <v>13005</v>
          </cell>
          <cell r="M80">
            <v>0</v>
          </cell>
          <cell r="N80">
            <v>13005</v>
          </cell>
          <cell r="O80">
            <v>13005</v>
          </cell>
          <cell r="P80">
            <v>13005</v>
          </cell>
          <cell r="Q80">
            <v>0</v>
          </cell>
        </row>
        <row r="81">
          <cell r="C81">
            <v>91</v>
          </cell>
          <cell r="D81" t="str">
            <v>F</v>
          </cell>
          <cell r="E81">
            <v>41</v>
          </cell>
          <cell r="F81">
            <v>11.874000000000001</v>
          </cell>
          <cell r="G81">
            <v>8824</v>
          </cell>
          <cell r="H81">
            <v>104774</v>
          </cell>
          <cell r="I81">
            <v>70713</v>
          </cell>
          <cell r="J81">
            <v>70713</v>
          </cell>
          <cell r="K81">
            <v>45518</v>
          </cell>
          <cell r="L81">
            <v>45518</v>
          </cell>
          <cell r="M81">
            <v>0</v>
          </cell>
          <cell r="N81">
            <v>45518</v>
          </cell>
          <cell r="O81">
            <v>45518</v>
          </cell>
          <cell r="P81">
            <v>45518</v>
          </cell>
          <cell r="Q81">
            <v>5883</v>
          </cell>
        </row>
        <row r="82">
          <cell r="C82">
            <v>92</v>
          </cell>
          <cell r="D82" t="str">
            <v>M</v>
          </cell>
          <cell r="E82">
            <v>50</v>
          </cell>
          <cell r="F82">
            <v>5.9459999999999997</v>
          </cell>
          <cell r="G82">
            <v>8465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C83">
            <v>93</v>
          </cell>
          <cell r="D83" t="str">
            <v>F</v>
          </cell>
          <cell r="E83">
            <v>50</v>
          </cell>
          <cell r="F83">
            <v>6.4249999999999998</v>
          </cell>
          <cell r="G83">
            <v>7393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C84">
            <v>94</v>
          </cell>
          <cell r="D84" t="str">
            <v>F</v>
          </cell>
          <cell r="E84">
            <v>49</v>
          </cell>
          <cell r="F84">
            <v>15.914999999999999</v>
          </cell>
          <cell r="G84">
            <v>9525</v>
          </cell>
          <cell r="H84">
            <v>151592</v>
          </cell>
          <cell r="I84">
            <v>150135</v>
          </cell>
          <cell r="J84">
            <v>150135</v>
          </cell>
          <cell r="K84">
            <v>130050</v>
          </cell>
          <cell r="L84">
            <v>130050</v>
          </cell>
          <cell r="M84">
            <v>0</v>
          </cell>
          <cell r="N84">
            <v>130050</v>
          </cell>
          <cell r="O84">
            <v>130050</v>
          </cell>
          <cell r="P84">
            <v>130050</v>
          </cell>
          <cell r="Q84">
            <v>9319</v>
          </cell>
        </row>
        <row r="85">
          <cell r="C85">
            <v>95</v>
          </cell>
          <cell r="D85" t="str">
            <v>F</v>
          </cell>
          <cell r="E85">
            <v>42</v>
          </cell>
          <cell r="F85">
            <v>5.67</v>
          </cell>
          <cell r="G85">
            <v>10800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96</v>
          </cell>
          <cell r="D86" t="str">
            <v>M</v>
          </cell>
          <cell r="E86">
            <v>42</v>
          </cell>
          <cell r="F86">
            <v>5.8419999999999996</v>
          </cell>
          <cell r="G86">
            <v>14306</v>
          </cell>
          <cell r="H86">
            <v>41793</v>
          </cell>
          <cell r="I86">
            <v>16771</v>
          </cell>
          <cell r="J86">
            <v>16771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2836</v>
          </cell>
        </row>
        <row r="87">
          <cell r="C87">
            <v>97</v>
          </cell>
          <cell r="D87" t="str">
            <v>M</v>
          </cell>
          <cell r="E87">
            <v>42</v>
          </cell>
          <cell r="F87">
            <v>5.9429999999999996</v>
          </cell>
          <cell r="G87">
            <v>11310</v>
          </cell>
          <cell r="H87">
            <v>33613</v>
          </cell>
          <cell r="I87">
            <v>13485</v>
          </cell>
          <cell r="J87">
            <v>13485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2241</v>
          </cell>
        </row>
        <row r="88">
          <cell r="C88">
            <v>98</v>
          </cell>
          <cell r="D88" t="str">
            <v>F</v>
          </cell>
          <cell r="E88">
            <v>44</v>
          </cell>
          <cell r="F88">
            <v>15.446</v>
          </cell>
          <cell r="G88">
            <v>14740</v>
          </cell>
          <cell r="H88">
            <v>227684</v>
          </cell>
          <cell r="I88">
            <v>127427</v>
          </cell>
          <cell r="J88">
            <v>127427</v>
          </cell>
          <cell r="K88">
            <v>45518</v>
          </cell>
          <cell r="L88">
            <v>45517</v>
          </cell>
          <cell r="M88">
            <v>0</v>
          </cell>
          <cell r="N88">
            <v>45517</v>
          </cell>
          <cell r="O88">
            <v>45517</v>
          </cell>
          <cell r="P88">
            <v>45517</v>
          </cell>
          <cell r="Q88">
            <v>8150</v>
          </cell>
        </row>
        <row r="89">
          <cell r="C89">
            <v>99</v>
          </cell>
          <cell r="D89" t="str">
            <v>F</v>
          </cell>
          <cell r="E89">
            <v>62</v>
          </cell>
          <cell r="F89">
            <v>16.795999999999999</v>
          </cell>
          <cell r="G89">
            <v>17542</v>
          </cell>
          <cell r="H89">
            <v>294641</v>
          </cell>
          <cell r="I89">
            <v>295375</v>
          </cell>
          <cell r="J89">
            <v>295375</v>
          </cell>
          <cell r="K89">
            <v>195075</v>
          </cell>
          <cell r="L89">
            <v>195075</v>
          </cell>
          <cell r="M89">
            <v>0</v>
          </cell>
          <cell r="N89">
            <v>195075</v>
          </cell>
          <cell r="O89">
            <v>195075</v>
          </cell>
          <cell r="P89">
            <v>195075</v>
          </cell>
          <cell r="Q89">
            <v>17428</v>
          </cell>
        </row>
        <row r="90">
          <cell r="C90">
            <v>100</v>
          </cell>
          <cell r="D90" t="str">
            <v>M</v>
          </cell>
          <cell r="E90">
            <v>62</v>
          </cell>
          <cell r="F90">
            <v>5.4749999999999996</v>
          </cell>
          <cell r="G90">
            <v>27375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C91">
            <v>101</v>
          </cell>
          <cell r="D91" t="str">
            <v>F</v>
          </cell>
          <cell r="E91">
            <v>43</v>
          </cell>
          <cell r="F91">
            <v>15.236000000000001</v>
          </cell>
          <cell r="G91">
            <v>19486</v>
          </cell>
          <cell r="H91">
            <v>0</v>
          </cell>
          <cell r="I91">
            <v>20118</v>
          </cell>
          <cell r="J91">
            <v>32513</v>
          </cell>
          <cell r="K91">
            <v>32513</v>
          </cell>
          <cell r="L91">
            <v>32513</v>
          </cell>
          <cell r="M91">
            <v>0</v>
          </cell>
          <cell r="N91">
            <v>32513</v>
          </cell>
          <cell r="O91">
            <v>32513</v>
          </cell>
          <cell r="P91">
            <v>32513</v>
          </cell>
          <cell r="Q91">
            <v>0</v>
          </cell>
        </row>
        <row r="92">
          <cell r="C92">
            <v>102</v>
          </cell>
          <cell r="D92" t="str">
            <v>M</v>
          </cell>
          <cell r="E92">
            <v>39</v>
          </cell>
          <cell r="F92">
            <v>5.33</v>
          </cell>
          <cell r="G92">
            <v>13669</v>
          </cell>
          <cell r="H92">
            <v>36431</v>
          </cell>
          <cell r="I92">
            <v>13349</v>
          </cell>
          <cell r="J92">
            <v>13349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2474</v>
          </cell>
        </row>
        <row r="93">
          <cell r="C93">
            <v>103</v>
          </cell>
          <cell r="D93" t="str">
            <v>M</v>
          </cell>
          <cell r="E93">
            <v>37</v>
          </cell>
          <cell r="F93">
            <v>5.2919999999999998</v>
          </cell>
          <cell r="G93">
            <v>16976</v>
          </cell>
          <cell r="H93">
            <v>44920</v>
          </cell>
          <cell r="I93">
            <v>15554</v>
          </cell>
          <cell r="J93">
            <v>15554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2905</v>
          </cell>
        </row>
        <row r="94">
          <cell r="C94">
            <v>104</v>
          </cell>
          <cell r="D94" t="str">
            <v>M</v>
          </cell>
          <cell r="E94">
            <v>36</v>
          </cell>
          <cell r="F94">
            <v>5.0890000000000004</v>
          </cell>
          <cell r="G94">
            <v>9206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105</v>
          </cell>
          <cell r="D95" t="str">
            <v>M</v>
          </cell>
          <cell r="E95">
            <v>37</v>
          </cell>
          <cell r="F95">
            <v>5.7409999999999997</v>
          </cell>
          <cell r="G95">
            <v>10700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106</v>
          </cell>
          <cell r="D96" t="str">
            <v>F</v>
          </cell>
          <cell r="E96">
            <v>37</v>
          </cell>
          <cell r="F96">
            <v>5.6719999999999997</v>
          </cell>
          <cell r="G96">
            <v>14306</v>
          </cell>
          <cell r="H96">
            <v>40578</v>
          </cell>
          <cell r="I96">
            <v>14207</v>
          </cell>
          <cell r="J96">
            <v>14207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2475</v>
          </cell>
        </row>
        <row r="97">
          <cell r="C97">
            <v>107</v>
          </cell>
          <cell r="D97" t="str">
            <v>M</v>
          </cell>
          <cell r="E97">
            <v>31</v>
          </cell>
          <cell r="F97">
            <v>5.9630000000000001</v>
          </cell>
          <cell r="G97">
            <v>15900</v>
          </cell>
          <cell r="H97">
            <v>47406</v>
          </cell>
          <cell r="I97">
            <v>15080</v>
          </cell>
          <cell r="J97">
            <v>15080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2499</v>
          </cell>
        </row>
        <row r="98">
          <cell r="C98">
            <v>108</v>
          </cell>
          <cell r="D98" t="str">
            <v>F</v>
          </cell>
          <cell r="E98">
            <v>57</v>
          </cell>
          <cell r="F98">
            <v>11.676</v>
          </cell>
          <cell r="G98">
            <v>17494</v>
          </cell>
          <cell r="H98">
            <v>102137</v>
          </cell>
          <cell r="I98">
            <v>85015</v>
          </cell>
          <cell r="J98">
            <v>85015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7198</v>
          </cell>
        </row>
        <row r="99">
          <cell r="C99">
            <v>109</v>
          </cell>
          <cell r="D99" t="str">
            <v>M</v>
          </cell>
          <cell r="E99">
            <v>48</v>
          </cell>
          <cell r="F99">
            <v>5.2729999999999997</v>
          </cell>
          <cell r="G99">
            <v>15780</v>
          </cell>
          <cell r="H99">
            <v>41606</v>
          </cell>
          <cell r="I99">
            <v>21524</v>
          </cell>
          <cell r="J99">
            <v>21524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4031</v>
          </cell>
        </row>
        <row r="100">
          <cell r="C100">
            <v>110</v>
          </cell>
          <cell r="D100" t="str">
            <v>F</v>
          </cell>
          <cell r="E100">
            <v>55</v>
          </cell>
          <cell r="F100">
            <v>5.5439999999999996</v>
          </cell>
          <cell r="G100">
            <v>19406</v>
          </cell>
          <cell r="H100">
            <v>53796</v>
          </cell>
          <cell r="I100">
            <v>40775</v>
          </cell>
          <cell r="J100">
            <v>40775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7268</v>
          </cell>
        </row>
        <row r="101">
          <cell r="C101">
            <v>111</v>
          </cell>
          <cell r="D101" t="str">
            <v>F</v>
          </cell>
          <cell r="E101">
            <v>60</v>
          </cell>
          <cell r="F101">
            <v>19</v>
          </cell>
          <cell r="G101">
            <v>17813</v>
          </cell>
          <cell r="H101">
            <v>338450</v>
          </cell>
          <cell r="I101">
            <v>346457</v>
          </cell>
          <cell r="J101">
            <v>346457</v>
          </cell>
          <cell r="K101">
            <v>260100</v>
          </cell>
          <cell r="L101">
            <v>260100</v>
          </cell>
          <cell r="M101">
            <v>0</v>
          </cell>
          <cell r="N101">
            <v>260100</v>
          </cell>
          <cell r="O101">
            <v>260100</v>
          </cell>
          <cell r="P101">
            <v>260100</v>
          </cell>
          <cell r="Q101">
            <v>18045</v>
          </cell>
        </row>
        <row r="102">
          <cell r="C102">
            <v>112</v>
          </cell>
          <cell r="D102" t="str">
            <v>M</v>
          </cell>
          <cell r="E102">
            <v>51</v>
          </cell>
          <cell r="F102">
            <v>16.558</v>
          </cell>
          <cell r="G102">
            <v>15757</v>
          </cell>
          <cell r="H102">
            <v>260919</v>
          </cell>
          <cell r="I102">
            <v>239049</v>
          </cell>
          <cell r="J102">
            <v>239049</v>
          </cell>
          <cell r="K102">
            <v>175568</v>
          </cell>
          <cell r="L102">
            <v>175568</v>
          </cell>
          <cell r="M102">
            <v>0</v>
          </cell>
          <cell r="N102">
            <v>175568</v>
          </cell>
          <cell r="O102">
            <v>175568</v>
          </cell>
          <cell r="P102">
            <v>175568</v>
          </cell>
          <cell r="Q102">
            <v>14257</v>
          </cell>
        </row>
        <row r="103">
          <cell r="C103">
            <v>113</v>
          </cell>
          <cell r="D103" t="str">
            <v>M</v>
          </cell>
          <cell r="E103">
            <v>36</v>
          </cell>
          <cell r="F103">
            <v>5.806</v>
          </cell>
          <cell r="G103">
            <v>15581</v>
          </cell>
          <cell r="H103">
            <v>45240</v>
          </cell>
          <cell r="I103">
            <v>15331</v>
          </cell>
          <cell r="J103">
            <v>15331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2609</v>
          </cell>
        </row>
        <row r="104">
          <cell r="C104">
            <v>115</v>
          </cell>
          <cell r="D104" t="str">
            <v>F</v>
          </cell>
          <cell r="E104">
            <v>54</v>
          </cell>
          <cell r="F104">
            <v>18.477</v>
          </cell>
          <cell r="G104">
            <v>11517</v>
          </cell>
          <cell r="H104">
            <v>212812</v>
          </cell>
          <cell r="I104">
            <v>183057</v>
          </cell>
          <cell r="J104">
            <v>183057</v>
          </cell>
          <cell r="K104">
            <v>84533</v>
          </cell>
          <cell r="L104">
            <v>84533</v>
          </cell>
          <cell r="M104">
            <v>0</v>
          </cell>
          <cell r="N104">
            <v>84533</v>
          </cell>
          <cell r="O104">
            <v>84533</v>
          </cell>
          <cell r="P104">
            <v>84533</v>
          </cell>
          <cell r="Q104">
            <v>9791</v>
          </cell>
        </row>
        <row r="105">
          <cell r="C105">
            <v>116</v>
          </cell>
          <cell r="D105" t="str">
            <v>F</v>
          </cell>
          <cell r="E105">
            <v>52</v>
          </cell>
          <cell r="F105">
            <v>6.4249999999999998</v>
          </cell>
          <cell r="G105">
            <v>18450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C106">
            <v>117</v>
          </cell>
          <cell r="D106" t="str">
            <v>F</v>
          </cell>
          <cell r="E106">
            <v>61</v>
          </cell>
          <cell r="F106">
            <v>17.741</v>
          </cell>
          <cell r="G106">
            <v>15342</v>
          </cell>
          <cell r="H106">
            <v>272190</v>
          </cell>
          <cell r="I106">
            <v>268599</v>
          </cell>
          <cell r="J106">
            <v>268599</v>
          </cell>
          <cell r="K106">
            <v>107555</v>
          </cell>
          <cell r="L106">
            <v>107555</v>
          </cell>
          <cell r="M106">
            <v>0</v>
          </cell>
          <cell r="N106">
            <v>107555</v>
          </cell>
          <cell r="O106">
            <v>107555</v>
          </cell>
          <cell r="P106">
            <v>107555</v>
          </cell>
          <cell r="Q106">
            <v>14992</v>
          </cell>
        </row>
        <row r="107">
          <cell r="C107">
            <v>118</v>
          </cell>
          <cell r="D107" t="str">
            <v>F</v>
          </cell>
          <cell r="E107">
            <v>62</v>
          </cell>
          <cell r="F107">
            <v>15.071</v>
          </cell>
          <cell r="G107">
            <v>10991</v>
          </cell>
          <cell r="H107">
            <v>165659</v>
          </cell>
          <cell r="I107">
            <v>167205</v>
          </cell>
          <cell r="J107">
            <v>167205</v>
          </cell>
          <cell r="K107">
            <v>102045</v>
          </cell>
          <cell r="L107">
            <v>102045</v>
          </cell>
          <cell r="M107">
            <v>0</v>
          </cell>
          <cell r="N107">
            <v>102045</v>
          </cell>
          <cell r="O107">
            <v>102045</v>
          </cell>
          <cell r="P107">
            <v>102045</v>
          </cell>
          <cell r="Q107">
            <v>10985</v>
          </cell>
        </row>
        <row r="108">
          <cell r="C108">
            <v>119</v>
          </cell>
          <cell r="D108" t="str">
            <v>M</v>
          </cell>
          <cell r="E108">
            <v>62</v>
          </cell>
          <cell r="F108">
            <v>16.887</v>
          </cell>
          <cell r="G108">
            <v>13908</v>
          </cell>
          <cell r="H108">
            <v>234862</v>
          </cell>
          <cell r="I108">
            <v>222721</v>
          </cell>
          <cell r="J108">
            <v>222721</v>
          </cell>
          <cell r="K108">
            <v>36147</v>
          </cell>
          <cell r="L108">
            <v>36147</v>
          </cell>
          <cell r="M108">
            <v>0</v>
          </cell>
          <cell r="N108">
            <v>36147</v>
          </cell>
          <cell r="O108">
            <v>36147</v>
          </cell>
          <cell r="P108">
            <v>36147</v>
          </cell>
          <cell r="Q108">
            <v>13046</v>
          </cell>
        </row>
        <row r="109">
          <cell r="C109">
            <v>120</v>
          </cell>
          <cell r="D109" t="str">
            <v>M</v>
          </cell>
          <cell r="E109">
            <v>50</v>
          </cell>
          <cell r="F109">
            <v>13.226000000000001</v>
          </cell>
          <cell r="G109">
            <v>14306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121</v>
          </cell>
          <cell r="D110" t="str">
            <v>M</v>
          </cell>
          <cell r="E110">
            <v>54</v>
          </cell>
          <cell r="F110">
            <v>2E-3</v>
          </cell>
          <cell r="G110">
            <v>18291</v>
          </cell>
          <cell r="H110">
            <v>25</v>
          </cell>
          <cell r="I110">
            <v>17</v>
          </cell>
          <cell r="J110">
            <v>17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17</v>
          </cell>
        </row>
        <row r="111">
          <cell r="C111">
            <v>122</v>
          </cell>
          <cell r="D111" t="str">
            <v>M</v>
          </cell>
          <cell r="E111">
            <v>62</v>
          </cell>
          <cell r="F111">
            <v>19</v>
          </cell>
          <cell r="G111">
            <v>17494</v>
          </cell>
          <cell r="H111">
            <v>332393</v>
          </cell>
          <cell r="I111">
            <v>340103</v>
          </cell>
          <cell r="J111">
            <v>340103</v>
          </cell>
          <cell r="K111">
            <v>213118</v>
          </cell>
          <cell r="L111">
            <v>213118</v>
          </cell>
          <cell r="M111">
            <v>0</v>
          </cell>
          <cell r="N111">
            <v>213118</v>
          </cell>
          <cell r="O111">
            <v>213118</v>
          </cell>
          <cell r="P111">
            <v>213118</v>
          </cell>
          <cell r="Q111">
            <v>17705</v>
          </cell>
        </row>
        <row r="112">
          <cell r="C112">
            <v>123</v>
          </cell>
          <cell r="D112" t="str">
            <v>M</v>
          </cell>
          <cell r="E112">
            <v>32</v>
          </cell>
          <cell r="F112">
            <v>5.9109999999999996</v>
          </cell>
          <cell r="G112">
            <v>6656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>
            <v>124</v>
          </cell>
          <cell r="D113" t="str">
            <v>M</v>
          </cell>
          <cell r="E113">
            <v>41</v>
          </cell>
          <cell r="F113">
            <v>9.5079999999999991</v>
          </cell>
          <cell r="G113">
            <v>5063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>
            <v>125</v>
          </cell>
          <cell r="D114" t="str">
            <v>F</v>
          </cell>
          <cell r="E114">
            <v>46</v>
          </cell>
          <cell r="F114">
            <v>9.1690000000000005</v>
          </cell>
          <cell r="G114">
            <v>5063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126</v>
          </cell>
          <cell r="D115" t="str">
            <v>F</v>
          </cell>
          <cell r="E115">
            <v>60</v>
          </cell>
          <cell r="F115">
            <v>7.3449999999999998</v>
          </cell>
          <cell r="G115">
            <v>5780</v>
          </cell>
          <cell r="H115">
            <v>42456</v>
          </cell>
          <cell r="I115">
            <v>41508</v>
          </cell>
          <cell r="J115">
            <v>41508</v>
          </cell>
          <cell r="K115">
            <v>10811</v>
          </cell>
          <cell r="L115">
            <v>10811</v>
          </cell>
          <cell r="M115">
            <v>0</v>
          </cell>
          <cell r="N115">
            <v>10811</v>
          </cell>
          <cell r="O115">
            <v>10811</v>
          </cell>
          <cell r="P115">
            <v>10811</v>
          </cell>
          <cell r="Q115">
            <v>5592</v>
          </cell>
        </row>
        <row r="116">
          <cell r="C116">
            <v>129</v>
          </cell>
          <cell r="D116" t="str">
            <v>M</v>
          </cell>
          <cell r="E116">
            <v>59</v>
          </cell>
          <cell r="F116">
            <v>7.7910000000000004</v>
          </cell>
          <cell r="G116">
            <v>6338</v>
          </cell>
          <cell r="H116">
            <v>49381</v>
          </cell>
          <cell r="I116">
            <v>45368</v>
          </cell>
          <cell r="J116">
            <v>45368</v>
          </cell>
          <cell r="K116">
            <v>12657</v>
          </cell>
          <cell r="L116">
            <v>12657</v>
          </cell>
          <cell r="M116">
            <v>0</v>
          </cell>
          <cell r="N116">
            <v>12657</v>
          </cell>
          <cell r="O116">
            <v>12657</v>
          </cell>
          <cell r="P116">
            <v>12657</v>
          </cell>
          <cell r="Q116">
            <v>5754</v>
          </cell>
        </row>
        <row r="117">
          <cell r="C117">
            <v>130</v>
          </cell>
          <cell r="D117" t="str">
            <v>F</v>
          </cell>
          <cell r="E117">
            <v>50</v>
          </cell>
          <cell r="F117">
            <v>8.1669999999999998</v>
          </cell>
          <cell r="G117">
            <v>6537</v>
          </cell>
          <cell r="H117">
            <v>53385</v>
          </cell>
          <cell r="I117">
            <v>38155</v>
          </cell>
          <cell r="J117">
            <v>38155</v>
          </cell>
          <cell r="K117">
            <v>12955</v>
          </cell>
          <cell r="L117">
            <v>12955</v>
          </cell>
          <cell r="M117">
            <v>0</v>
          </cell>
          <cell r="N117">
            <v>12955</v>
          </cell>
          <cell r="O117">
            <v>12955</v>
          </cell>
          <cell r="P117">
            <v>12955</v>
          </cell>
          <cell r="Q117">
            <v>4615</v>
          </cell>
        </row>
        <row r="118">
          <cell r="C118">
            <v>131</v>
          </cell>
          <cell r="D118" t="str">
            <v>F</v>
          </cell>
          <cell r="E118">
            <v>45</v>
          </cell>
          <cell r="F118">
            <v>8.1669999999999998</v>
          </cell>
          <cell r="G118">
            <v>11916</v>
          </cell>
          <cell r="H118">
            <v>48658</v>
          </cell>
          <cell r="I118">
            <v>22261</v>
          </cell>
          <cell r="J118">
            <v>22261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2693</v>
          </cell>
        </row>
        <row r="119">
          <cell r="C119">
            <v>132</v>
          </cell>
          <cell r="D119" t="str">
            <v>F</v>
          </cell>
          <cell r="E119">
            <v>39</v>
          </cell>
          <cell r="F119">
            <v>8.1669999999999998</v>
          </cell>
          <cell r="G119">
            <v>6178</v>
          </cell>
          <cell r="H119">
            <v>50457</v>
          </cell>
          <cell r="I119">
            <v>26829</v>
          </cell>
          <cell r="J119">
            <v>26829</v>
          </cell>
          <cell r="K119">
            <v>12218</v>
          </cell>
          <cell r="L119">
            <v>12218</v>
          </cell>
          <cell r="M119">
            <v>0</v>
          </cell>
          <cell r="N119">
            <v>12218</v>
          </cell>
          <cell r="O119">
            <v>12218</v>
          </cell>
          <cell r="P119">
            <v>12218</v>
          </cell>
          <cell r="Q119">
            <v>3245</v>
          </cell>
        </row>
        <row r="120">
          <cell r="C120">
            <v>133</v>
          </cell>
          <cell r="D120" t="str">
            <v>M</v>
          </cell>
          <cell r="E120">
            <v>52</v>
          </cell>
          <cell r="F120">
            <v>7.69</v>
          </cell>
          <cell r="G120">
            <v>12713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>
            <v>134</v>
          </cell>
          <cell r="D121" t="str">
            <v>F</v>
          </cell>
          <cell r="E121">
            <v>49</v>
          </cell>
          <cell r="F121">
            <v>8.1669999999999998</v>
          </cell>
          <cell r="G121">
            <v>6178</v>
          </cell>
          <cell r="H121">
            <v>50457</v>
          </cell>
          <cell r="I121">
            <v>36646</v>
          </cell>
          <cell r="J121">
            <v>36646</v>
          </cell>
          <cell r="K121">
            <v>16418</v>
          </cell>
          <cell r="L121">
            <v>16418</v>
          </cell>
          <cell r="M121">
            <v>0</v>
          </cell>
          <cell r="N121">
            <v>16418</v>
          </cell>
          <cell r="O121">
            <v>16418</v>
          </cell>
          <cell r="P121">
            <v>16418</v>
          </cell>
          <cell r="Q121">
            <v>4433</v>
          </cell>
        </row>
        <row r="122">
          <cell r="C122">
            <v>135</v>
          </cell>
          <cell r="D122" t="str">
            <v>F</v>
          </cell>
          <cell r="E122">
            <v>36</v>
          </cell>
          <cell r="F122">
            <v>8.1669999999999998</v>
          </cell>
          <cell r="G122">
            <v>9525</v>
          </cell>
          <cell r="H122">
            <v>77791</v>
          </cell>
          <cell r="I122">
            <v>42689</v>
          </cell>
          <cell r="J122">
            <v>42689</v>
          </cell>
          <cell r="K122">
            <v>23431</v>
          </cell>
          <cell r="L122">
            <v>23431</v>
          </cell>
          <cell r="M122">
            <v>0</v>
          </cell>
          <cell r="N122">
            <v>23431</v>
          </cell>
          <cell r="O122">
            <v>23431</v>
          </cell>
          <cell r="P122">
            <v>23431</v>
          </cell>
          <cell r="Q122">
            <v>5166</v>
          </cell>
        </row>
        <row r="123">
          <cell r="C123">
            <v>136</v>
          </cell>
          <cell r="D123" t="str">
            <v>F</v>
          </cell>
          <cell r="E123">
            <v>45</v>
          </cell>
          <cell r="F123">
            <v>8.1669999999999998</v>
          </cell>
          <cell r="G123">
            <v>6417</v>
          </cell>
          <cell r="H123">
            <v>52409</v>
          </cell>
          <cell r="I123">
            <v>31083</v>
          </cell>
          <cell r="J123">
            <v>31083</v>
          </cell>
          <cell r="K123">
            <v>12093</v>
          </cell>
          <cell r="L123">
            <v>12093</v>
          </cell>
          <cell r="M123">
            <v>0</v>
          </cell>
          <cell r="N123">
            <v>12093</v>
          </cell>
          <cell r="O123">
            <v>12093</v>
          </cell>
          <cell r="P123">
            <v>12093</v>
          </cell>
          <cell r="Q123">
            <v>3760</v>
          </cell>
        </row>
        <row r="124">
          <cell r="C124">
            <v>137</v>
          </cell>
          <cell r="D124" t="str">
            <v>M</v>
          </cell>
          <cell r="E124">
            <v>58</v>
          </cell>
          <cell r="F124">
            <v>8.1669999999999998</v>
          </cell>
          <cell r="G124">
            <v>9107</v>
          </cell>
          <cell r="H124">
            <v>74374</v>
          </cell>
          <cell r="I124">
            <v>69437</v>
          </cell>
          <cell r="J124">
            <v>69437</v>
          </cell>
          <cell r="K124">
            <v>31400</v>
          </cell>
          <cell r="L124">
            <v>31400</v>
          </cell>
          <cell r="M124">
            <v>0</v>
          </cell>
          <cell r="N124">
            <v>31400</v>
          </cell>
          <cell r="O124">
            <v>31400</v>
          </cell>
          <cell r="P124">
            <v>31400</v>
          </cell>
          <cell r="Q124">
            <v>8402</v>
          </cell>
        </row>
        <row r="125">
          <cell r="C125">
            <v>138</v>
          </cell>
          <cell r="D125" t="str">
            <v>M</v>
          </cell>
          <cell r="E125">
            <v>54</v>
          </cell>
          <cell r="F125">
            <v>6.351</v>
          </cell>
          <cell r="G125">
            <v>18689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139</v>
          </cell>
          <cell r="D126" t="str">
            <v>M</v>
          </cell>
          <cell r="E126">
            <v>48</v>
          </cell>
          <cell r="F126">
            <v>8.1669999999999998</v>
          </cell>
          <cell r="G126">
            <v>9525</v>
          </cell>
          <cell r="H126">
            <v>38895</v>
          </cell>
          <cell r="I126">
            <v>20092</v>
          </cell>
          <cell r="J126">
            <v>20092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2430</v>
          </cell>
        </row>
        <row r="127">
          <cell r="C127">
            <v>140</v>
          </cell>
          <cell r="D127" t="str">
            <v>F</v>
          </cell>
          <cell r="E127">
            <v>47</v>
          </cell>
          <cell r="F127">
            <v>5.3680000000000003</v>
          </cell>
          <cell r="G127">
            <v>6497</v>
          </cell>
          <cell r="H127">
            <v>34881</v>
          </cell>
          <cell r="I127">
            <v>21312</v>
          </cell>
          <cell r="J127">
            <v>21312</v>
          </cell>
          <cell r="K127">
            <v>6834</v>
          </cell>
          <cell r="L127">
            <v>6834</v>
          </cell>
          <cell r="M127">
            <v>0</v>
          </cell>
          <cell r="N127">
            <v>6834</v>
          </cell>
          <cell r="O127">
            <v>6834</v>
          </cell>
          <cell r="P127">
            <v>6834</v>
          </cell>
          <cell r="Q127">
            <v>3921</v>
          </cell>
        </row>
        <row r="128">
          <cell r="C128">
            <v>142</v>
          </cell>
          <cell r="D128" t="str">
            <v>M</v>
          </cell>
          <cell r="E128">
            <v>55</v>
          </cell>
          <cell r="F128">
            <v>6.8659999999999997</v>
          </cell>
          <cell r="G128">
            <v>8728</v>
          </cell>
          <cell r="H128">
            <v>59932</v>
          </cell>
          <cell r="I128">
            <v>46557</v>
          </cell>
          <cell r="J128">
            <v>46557</v>
          </cell>
          <cell r="K128">
            <v>7691</v>
          </cell>
          <cell r="L128">
            <v>7691</v>
          </cell>
          <cell r="M128">
            <v>0</v>
          </cell>
          <cell r="N128">
            <v>7691</v>
          </cell>
          <cell r="O128">
            <v>7691</v>
          </cell>
          <cell r="P128">
            <v>7691</v>
          </cell>
          <cell r="Q128">
            <v>6698</v>
          </cell>
        </row>
        <row r="129">
          <cell r="C129">
            <v>143</v>
          </cell>
          <cell r="D129" t="str">
            <v>F</v>
          </cell>
          <cell r="E129">
            <v>44</v>
          </cell>
          <cell r="F129">
            <v>6.806</v>
          </cell>
          <cell r="G129">
            <v>6019</v>
          </cell>
          <cell r="H129">
            <v>40965</v>
          </cell>
          <cell r="I129">
            <v>19689</v>
          </cell>
          <cell r="J129">
            <v>19689</v>
          </cell>
          <cell r="K129">
            <v>2831</v>
          </cell>
          <cell r="L129">
            <v>2831</v>
          </cell>
          <cell r="M129">
            <v>0</v>
          </cell>
          <cell r="N129">
            <v>2831</v>
          </cell>
          <cell r="O129">
            <v>2831</v>
          </cell>
          <cell r="P129">
            <v>2831</v>
          </cell>
          <cell r="Q129">
            <v>2858</v>
          </cell>
        </row>
        <row r="130">
          <cell r="C130">
            <v>144</v>
          </cell>
          <cell r="D130" t="str">
            <v>M</v>
          </cell>
          <cell r="E130">
            <v>42</v>
          </cell>
          <cell r="F130">
            <v>6.0010000000000003</v>
          </cell>
          <cell r="G130">
            <v>19856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C131">
            <v>146</v>
          </cell>
          <cell r="D131" t="str">
            <v>F</v>
          </cell>
          <cell r="E131">
            <v>33</v>
          </cell>
          <cell r="F131">
            <v>6.617</v>
          </cell>
          <cell r="G131">
            <v>8927</v>
          </cell>
          <cell r="H131">
            <v>59076</v>
          </cell>
          <cell r="I131">
            <v>24255</v>
          </cell>
          <cell r="J131">
            <v>24255</v>
          </cell>
          <cell r="K131">
            <v>7134</v>
          </cell>
          <cell r="L131">
            <v>7134</v>
          </cell>
          <cell r="M131">
            <v>0</v>
          </cell>
          <cell r="N131">
            <v>7134</v>
          </cell>
          <cell r="O131">
            <v>7134</v>
          </cell>
          <cell r="P131">
            <v>7134</v>
          </cell>
          <cell r="Q131">
            <v>3622</v>
          </cell>
        </row>
        <row r="132">
          <cell r="C132">
            <v>147</v>
          </cell>
          <cell r="D132" t="str">
            <v>M</v>
          </cell>
          <cell r="E132">
            <v>41</v>
          </cell>
          <cell r="F132">
            <v>6.7539999999999996</v>
          </cell>
          <cell r="G132">
            <v>9923</v>
          </cell>
          <cell r="H132">
            <v>67026</v>
          </cell>
          <cell r="I132">
            <v>31366</v>
          </cell>
          <cell r="J132">
            <v>31366</v>
          </cell>
          <cell r="K132">
            <v>8113</v>
          </cell>
          <cell r="L132">
            <v>8113</v>
          </cell>
          <cell r="M132">
            <v>0</v>
          </cell>
          <cell r="N132">
            <v>8113</v>
          </cell>
          <cell r="O132">
            <v>8113</v>
          </cell>
          <cell r="P132">
            <v>8113</v>
          </cell>
          <cell r="Q132">
            <v>4588</v>
          </cell>
        </row>
        <row r="133">
          <cell r="C133">
            <v>148</v>
          </cell>
          <cell r="D133" t="str">
            <v>M</v>
          </cell>
          <cell r="E133">
            <v>45</v>
          </cell>
          <cell r="F133">
            <v>6.7350000000000003</v>
          </cell>
          <cell r="G133">
            <v>7931</v>
          </cell>
          <cell r="H133">
            <v>53418</v>
          </cell>
          <cell r="I133">
            <v>27891</v>
          </cell>
          <cell r="J133">
            <v>27891</v>
          </cell>
          <cell r="K133">
            <v>6734</v>
          </cell>
          <cell r="L133">
            <v>6734</v>
          </cell>
          <cell r="M133">
            <v>0</v>
          </cell>
          <cell r="N133">
            <v>6734</v>
          </cell>
          <cell r="O133">
            <v>6734</v>
          </cell>
          <cell r="P133">
            <v>6734</v>
          </cell>
          <cell r="Q133">
            <v>4090</v>
          </cell>
        </row>
        <row r="134">
          <cell r="C134">
            <v>149</v>
          </cell>
          <cell r="D134" t="str">
            <v>F</v>
          </cell>
          <cell r="E134">
            <v>39</v>
          </cell>
          <cell r="F134">
            <v>6.6390000000000002</v>
          </cell>
          <cell r="G134">
            <v>5859</v>
          </cell>
          <cell r="H134">
            <v>38902</v>
          </cell>
          <cell r="I134">
            <v>17207</v>
          </cell>
          <cell r="J134">
            <v>17207</v>
          </cell>
          <cell r="K134">
            <v>4171</v>
          </cell>
          <cell r="L134">
            <v>4171</v>
          </cell>
          <cell r="M134">
            <v>0</v>
          </cell>
          <cell r="N134">
            <v>4171</v>
          </cell>
          <cell r="O134">
            <v>4171</v>
          </cell>
          <cell r="P134">
            <v>4171</v>
          </cell>
          <cell r="Q134">
            <v>2560</v>
          </cell>
        </row>
        <row r="135">
          <cell r="C135">
            <v>150</v>
          </cell>
          <cell r="D135" t="str">
            <v>F</v>
          </cell>
          <cell r="E135">
            <v>30</v>
          </cell>
          <cell r="F135">
            <v>6.6360000000000001</v>
          </cell>
          <cell r="G135">
            <v>6019</v>
          </cell>
          <cell r="H135">
            <v>39944</v>
          </cell>
          <cell r="I135">
            <v>15713</v>
          </cell>
          <cell r="J135">
            <v>15713</v>
          </cell>
          <cell r="K135">
            <v>4307</v>
          </cell>
          <cell r="L135">
            <v>4307</v>
          </cell>
          <cell r="M135">
            <v>0</v>
          </cell>
          <cell r="N135">
            <v>4307</v>
          </cell>
          <cell r="O135">
            <v>4307</v>
          </cell>
          <cell r="P135">
            <v>4307</v>
          </cell>
          <cell r="Q135">
            <v>2340</v>
          </cell>
        </row>
        <row r="136">
          <cell r="C136" t="str">
            <v>All</v>
          </cell>
          <cell r="G136">
            <v>1473242</v>
          </cell>
          <cell r="H136">
            <v>7494356</v>
          </cell>
          <cell r="I136">
            <v>6753976</v>
          </cell>
          <cell r="J136">
            <v>7295507</v>
          </cell>
          <cell r="K136">
            <v>4560974</v>
          </cell>
          <cell r="L136">
            <v>4560974</v>
          </cell>
          <cell r="M136">
            <v>0</v>
          </cell>
          <cell r="N136">
            <v>4560974</v>
          </cell>
          <cell r="O136">
            <v>4560974</v>
          </cell>
          <cell r="P136">
            <v>4560974</v>
          </cell>
          <cell r="Q136">
            <v>467337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9275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41</v>
          </cell>
          <cell r="F25">
            <v>8.06</v>
          </cell>
        </row>
        <row r="26">
          <cell r="C26">
            <v>2</v>
          </cell>
          <cell r="D26" t="str">
            <v>F</v>
          </cell>
          <cell r="E26">
            <v>42</v>
          </cell>
          <cell r="F26">
            <v>7.4770000000000003</v>
          </cell>
          <cell r="G26">
            <v>23778</v>
          </cell>
          <cell r="H26">
            <v>57248</v>
          </cell>
          <cell r="I26">
            <v>57998</v>
          </cell>
          <cell r="J26">
            <v>57998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7663</v>
          </cell>
        </row>
        <row r="27">
          <cell r="C27">
            <v>4</v>
          </cell>
          <cell r="D27" t="str">
            <v>F</v>
          </cell>
          <cell r="E27">
            <v>60</v>
          </cell>
          <cell r="F27">
            <v>19.484999999999999</v>
          </cell>
          <cell r="G27">
            <v>12383</v>
          </cell>
          <cell r="H27">
            <v>277468</v>
          </cell>
          <cell r="I27">
            <v>285121</v>
          </cell>
          <cell r="J27">
            <v>285121</v>
          </cell>
          <cell r="K27">
            <v>118346</v>
          </cell>
          <cell r="L27">
            <v>118346</v>
          </cell>
          <cell r="M27">
            <v>0</v>
          </cell>
          <cell r="N27">
            <v>118346</v>
          </cell>
          <cell r="O27">
            <v>118346</v>
          </cell>
          <cell r="P27">
            <v>118346</v>
          </cell>
          <cell r="Q27">
            <v>14474</v>
          </cell>
        </row>
        <row r="28">
          <cell r="C28">
            <v>7</v>
          </cell>
          <cell r="D28" t="str">
            <v>F</v>
          </cell>
          <cell r="E28">
            <v>59</v>
          </cell>
          <cell r="F28">
            <v>5.9930000000000003</v>
          </cell>
          <cell r="G28">
            <v>26541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C29">
            <v>9</v>
          </cell>
          <cell r="D29" t="str">
            <v>F</v>
          </cell>
          <cell r="E29">
            <v>54</v>
          </cell>
          <cell r="F29">
            <v>5.0860000000000003</v>
          </cell>
          <cell r="G29">
            <v>13108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>
            <v>10</v>
          </cell>
          <cell r="D30" t="str">
            <v>M</v>
          </cell>
          <cell r="E30">
            <v>54</v>
          </cell>
          <cell r="F30">
            <v>4.859</v>
          </cell>
          <cell r="G30">
            <v>10829</v>
          </cell>
          <cell r="H30">
            <v>16945</v>
          </cell>
          <cell r="I30">
            <v>17304</v>
          </cell>
          <cell r="J30">
            <v>17304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3518</v>
          </cell>
        </row>
        <row r="31">
          <cell r="C31">
            <v>11</v>
          </cell>
          <cell r="D31" t="str">
            <v>M</v>
          </cell>
          <cell r="E31">
            <v>54</v>
          </cell>
          <cell r="F31">
            <v>19.331</v>
          </cell>
          <cell r="G31">
            <v>25850</v>
          </cell>
          <cell r="H31">
            <v>574684</v>
          </cell>
          <cell r="I31">
            <v>586869</v>
          </cell>
          <cell r="J31">
            <v>586869</v>
          </cell>
          <cell r="K31">
            <v>321224</v>
          </cell>
          <cell r="L31">
            <v>321224</v>
          </cell>
          <cell r="M31">
            <v>0</v>
          </cell>
          <cell r="N31">
            <v>321224</v>
          </cell>
          <cell r="O31">
            <v>321224</v>
          </cell>
          <cell r="P31">
            <v>321224</v>
          </cell>
          <cell r="Q31">
            <v>29990</v>
          </cell>
        </row>
        <row r="32">
          <cell r="C32">
            <v>12</v>
          </cell>
          <cell r="D32" t="str">
            <v>M</v>
          </cell>
          <cell r="E32">
            <v>53</v>
          </cell>
          <cell r="F32">
            <v>4.9470000000000001</v>
          </cell>
          <cell r="G32">
            <v>8757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13</v>
          </cell>
          <cell r="D33" t="str">
            <v>M</v>
          </cell>
          <cell r="E33">
            <v>53</v>
          </cell>
          <cell r="F33">
            <v>21.475000000000001</v>
          </cell>
          <cell r="G33">
            <v>27404</v>
          </cell>
          <cell r="H33">
            <v>540723</v>
          </cell>
          <cell r="I33">
            <v>547421</v>
          </cell>
          <cell r="J33">
            <v>547421</v>
          </cell>
          <cell r="K33">
            <v>211331</v>
          </cell>
          <cell r="L33">
            <v>211331</v>
          </cell>
          <cell r="M33">
            <v>0</v>
          </cell>
          <cell r="N33">
            <v>211331</v>
          </cell>
          <cell r="O33">
            <v>211331</v>
          </cell>
          <cell r="P33">
            <v>211331</v>
          </cell>
          <cell r="Q33">
            <v>0</v>
          </cell>
        </row>
        <row r="34">
          <cell r="C34">
            <v>15</v>
          </cell>
          <cell r="D34" t="str">
            <v>M</v>
          </cell>
          <cell r="E34">
            <v>56</v>
          </cell>
          <cell r="F34">
            <v>10.39</v>
          </cell>
          <cell r="G34">
            <v>35588</v>
          </cell>
          <cell r="H34">
            <v>119062</v>
          </cell>
          <cell r="I34">
            <v>120537</v>
          </cell>
          <cell r="J34">
            <v>120537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11465</v>
          </cell>
        </row>
        <row r="35">
          <cell r="C35">
            <v>16</v>
          </cell>
          <cell r="D35" t="str">
            <v>F</v>
          </cell>
          <cell r="E35">
            <v>55</v>
          </cell>
          <cell r="F35">
            <v>20.506</v>
          </cell>
          <cell r="G35">
            <v>11347</v>
          </cell>
          <cell r="H35">
            <v>223750</v>
          </cell>
          <cell r="I35">
            <v>226733</v>
          </cell>
          <cell r="J35">
            <v>226733</v>
          </cell>
          <cell r="K35">
            <v>126799</v>
          </cell>
          <cell r="L35">
            <v>126799</v>
          </cell>
          <cell r="M35">
            <v>0</v>
          </cell>
          <cell r="N35">
            <v>126799</v>
          </cell>
          <cell r="O35">
            <v>126799</v>
          </cell>
          <cell r="P35">
            <v>126799</v>
          </cell>
          <cell r="Q35">
            <v>3660</v>
          </cell>
        </row>
        <row r="36">
          <cell r="C36">
            <v>17</v>
          </cell>
          <cell r="D36" t="str">
            <v>F</v>
          </cell>
          <cell r="E36">
            <v>56</v>
          </cell>
          <cell r="F36">
            <v>15.455</v>
          </cell>
          <cell r="G36">
            <v>20152</v>
          </cell>
          <cell r="H36">
            <v>100288</v>
          </cell>
          <cell r="I36">
            <v>101535</v>
          </cell>
          <cell r="J36">
            <v>101535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6495</v>
          </cell>
        </row>
        <row r="37">
          <cell r="C37">
            <v>18</v>
          </cell>
          <cell r="D37" t="str">
            <v>F</v>
          </cell>
          <cell r="E37">
            <v>56</v>
          </cell>
          <cell r="F37">
            <v>10.839</v>
          </cell>
          <cell r="G37">
            <v>24814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C38">
            <v>19</v>
          </cell>
          <cell r="D38" t="str">
            <v>M</v>
          </cell>
          <cell r="E38">
            <v>55</v>
          </cell>
          <cell r="F38">
            <v>4.75</v>
          </cell>
          <cell r="G38">
            <v>24296</v>
          </cell>
          <cell r="H38">
            <v>130579</v>
          </cell>
          <cell r="I38">
            <v>132242</v>
          </cell>
          <cell r="J38">
            <v>132242</v>
          </cell>
          <cell r="K38">
            <v>42266</v>
          </cell>
          <cell r="L38">
            <v>42266</v>
          </cell>
          <cell r="M38">
            <v>0</v>
          </cell>
          <cell r="N38">
            <v>42266</v>
          </cell>
          <cell r="O38">
            <v>42266</v>
          </cell>
          <cell r="P38">
            <v>42266</v>
          </cell>
          <cell r="Q38">
            <v>27954</v>
          </cell>
        </row>
        <row r="39">
          <cell r="C39">
            <v>21</v>
          </cell>
          <cell r="D39" t="str">
            <v>M</v>
          </cell>
          <cell r="E39">
            <v>55</v>
          </cell>
          <cell r="F39">
            <v>20.506</v>
          </cell>
          <cell r="G39">
            <v>22742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22</v>
          </cell>
          <cell r="D40" t="str">
            <v>F</v>
          </cell>
          <cell r="E40">
            <v>55</v>
          </cell>
          <cell r="F40">
            <v>10.558999999999999</v>
          </cell>
          <cell r="G40">
            <v>52163</v>
          </cell>
          <cell r="H40">
            <v>428055</v>
          </cell>
          <cell r="I40">
            <v>439601</v>
          </cell>
          <cell r="J40">
            <v>439601</v>
          </cell>
          <cell r="K40">
            <v>236691</v>
          </cell>
          <cell r="L40">
            <v>236691</v>
          </cell>
          <cell r="M40">
            <v>0</v>
          </cell>
          <cell r="N40">
            <v>236691</v>
          </cell>
          <cell r="O40">
            <v>236691</v>
          </cell>
          <cell r="P40">
            <v>236691</v>
          </cell>
          <cell r="Q40">
            <v>17047</v>
          </cell>
        </row>
        <row r="41">
          <cell r="C41">
            <v>24</v>
          </cell>
          <cell r="D41" t="str">
            <v>M</v>
          </cell>
          <cell r="E41">
            <v>47</v>
          </cell>
          <cell r="F41">
            <v>4.67</v>
          </cell>
          <cell r="G41">
            <v>27300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25</v>
          </cell>
          <cell r="D42" t="str">
            <v>M</v>
          </cell>
          <cell r="E42">
            <v>52</v>
          </cell>
          <cell r="F42">
            <v>10.673999999999999</v>
          </cell>
          <cell r="G42">
            <v>10829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C43">
            <v>26</v>
          </cell>
          <cell r="D43" t="str">
            <v>F</v>
          </cell>
          <cell r="E43">
            <v>52</v>
          </cell>
          <cell r="F43">
            <v>4.5880000000000001</v>
          </cell>
          <cell r="G43">
            <v>24058</v>
          </cell>
          <cell r="H43">
            <v>125667</v>
          </cell>
          <cell r="I43">
            <v>138077</v>
          </cell>
          <cell r="J43">
            <v>152159</v>
          </cell>
          <cell r="K43">
            <v>152159</v>
          </cell>
          <cell r="L43">
            <v>152159</v>
          </cell>
          <cell r="M43">
            <v>0</v>
          </cell>
          <cell r="N43">
            <v>152159</v>
          </cell>
          <cell r="O43">
            <v>152159</v>
          </cell>
          <cell r="P43">
            <v>152159</v>
          </cell>
          <cell r="Q43">
            <v>33107</v>
          </cell>
        </row>
        <row r="44">
          <cell r="C44">
            <v>27</v>
          </cell>
          <cell r="D44" t="str">
            <v>M</v>
          </cell>
          <cell r="E44">
            <v>50</v>
          </cell>
          <cell r="F44">
            <v>15.455</v>
          </cell>
          <cell r="G44">
            <v>13418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28</v>
          </cell>
          <cell r="D45" t="str">
            <v>F</v>
          </cell>
          <cell r="E45">
            <v>50</v>
          </cell>
          <cell r="F45">
            <v>5.423</v>
          </cell>
          <cell r="G45">
            <v>25850</v>
          </cell>
          <cell r="H45">
            <v>161231</v>
          </cell>
          <cell r="I45">
            <v>183957</v>
          </cell>
          <cell r="J45">
            <v>211331</v>
          </cell>
          <cell r="K45">
            <v>211331</v>
          </cell>
          <cell r="L45">
            <v>211331</v>
          </cell>
          <cell r="M45">
            <v>0</v>
          </cell>
          <cell r="N45">
            <v>211331</v>
          </cell>
          <cell r="O45">
            <v>211331</v>
          </cell>
          <cell r="P45">
            <v>211331</v>
          </cell>
          <cell r="Q45">
            <v>38493</v>
          </cell>
        </row>
        <row r="46">
          <cell r="C46">
            <v>30</v>
          </cell>
          <cell r="D46" t="str">
            <v>M</v>
          </cell>
          <cell r="E46">
            <v>46</v>
          </cell>
          <cell r="F46">
            <v>6.6879999999999997</v>
          </cell>
          <cell r="G46">
            <v>11347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31</v>
          </cell>
          <cell r="D47" t="str">
            <v>F</v>
          </cell>
          <cell r="E47">
            <v>42</v>
          </cell>
          <cell r="F47">
            <v>5.3490000000000002</v>
          </cell>
          <cell r="G47">
            <v>9495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32</v>
          </cell>
          <cell r="D48" t="str">
            <v>M</v>
          </cell>
          <cell r="E48">
            <v>42</v>
          </cell>
          <cell r="F48">
            <v>13.869</v>
          </cell>
          <cell r="G48">
            <v>19634</v>
          </cell>
          <cell r="H48">
            <v>313172</v>
          </cell>
          <cell r="I48">
            <v>316525</v>
          </cell>
          <cell r="J48">
            <v>316525</v>
          </cell>
          <cell r="K48">
            <v>152159</v>
          </cell>
          <cell r="L48">
            <v>152159</v>
          </cell>
          <cell r="M48">
            <v>0</v>
          </cell>
          <cell r="N48">
            <v>152159</v>
          </cell>
          <cell r="O48">
            <v>152159</v>
          </cell>
          <cell r="P48">
            <v>152159</v>
          </cell>
          <cell r="Q48">
            <v>22545</v>
          </cell>
        </row>
        <row r="49">
          <cell r="C49">
            <v>33</v>
          </cell>
          <cell r="D49" t="str">
            <v>F</v>
          </cell>
          <cell r="E49">
            <v>41</v>
          </cell>
          <cell r="F49">
            <v>14.422000000000001</v>
          </cell>
          <cell r="G49">
            <v>8938</v>
          </cell>
          <cell r="H49">
            <v>148250</v>
          </cell>
          <cell r="I49">
            <v>150141</v>
          </cell>
          <cell r="J49">
            <v>150141</v>
          </cell>
          <cell r="K49">
            <v>67626</v>
          </cell>
          <cell r="L49">
            <v>67626</v>
          </cell>
          <cell r="M49">
            <v>0</v>
          </cell>
          <cell r="N49">
            <v>67626</v>
          </cell>
          <cell r="O49">
            <v>67626</v>
          </cell>
          <cell r="P49">
            <v>67626</v>
          </cell>
          <cell r="Q49">
            <v>10284</v>
          </cell>
        </row>
        <row r="50">
          <cell r="C50">
            <v>34</v>
          </cell>
          <cell r="D50" t="str">
            <v>M</v>
          </cell>
          <cell r="E50">
            <v>47</v>
          </cell>
          <cell r="F50">
            <v>19.582999999999998</v>
          </cell>
          <cell r="G50">
            <v>28958</v>
          </cell>
          <cell r="H50">
            <v>511119</v>
          </cell>
          <cell r="I50">
            <v>516246</v>
          </cell>
          <cell r="J50">
            <v>516246</v>
          </cell>
          <cell r="K50">
            <v>202878</v>
          </cell>
          <cell r="L50">
            <v>202878</v>
          </cell>
          <cell r="M50">
            <v>0</v>
          </cell>
          <cell r="N50">
            <v>202878</v>
          </cell>
          <cell r="O50">
            <v>202878</v>
          </cell>
          <cell r="P50">
            <v>202878</v>
          </cell>
          <cell r="Q50">
            <v>0</v>
          </cell>
        </row>
        <row r="51">
          <cell r="C51">
            <v>36</v>
          </cell>
          <cell r="D51" t="str">
            <v>M</v>
          </cell>
          <cell r="E51">
            <v>51</v>
          </cell>
          <cell r="F51">
            <v>12.084</v>
          </cell>
          <cell r="G51">
            <v>9275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37</v>
          </cell>
          <cell r="D52" t="str">
            <v>M</v>
          </cell>
          <cell r="E52">
            <v>51</v>
          </cell>
          <cell r="F52">
            <v>15.164</v>
          </cell>
          <cell r="G52">
            <v>19116</v>
          </cell>
          <cell r="H52">
            <v>223476</v>
          </cell>
          <cell r="I52">
            <v>227301</v>
          </cell>
          <cell r="J52">
            <v>227301</v>
          </cell>
          <cell r="K52">
            <v>126799</v>
          </cell>
          <cell r="L52">
            <v>126799</v>
          </cell>
          <cell r="M52">
            <v>0</v>
          </cell>
          <cell r="N52">
            <v>126799</v>
          </cell>
          <cell r="O52">
            <v>126799</v>
          </cell>
          <cell r="P52">
            <v>126799</v>
          </cell>
          <cell r="Q52">
            <v>0</v>
          </cell>
        </row>
        <row r="53">
          <cell r="C53">
            <v>38</v>
          </cell>
          <cell r="D53" t="str">
            <v>M</v>
          </cell>
          <cell r="E53">
            <v>51</v>
          </cell>
          <cell r="F53">
            <v>10.324</v>
          </cell>
          <cell r="G53">
            <v>16526</v>
          </cell>
          <cell r="H53">
            <v>54941</v>
          </cell>
          <cell r="I53">
            <v>55881</v>
          </cell>
          <cell r="J53">
            <v>55881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5347</v>
          </cell>
        </row>
        <row r="54">
          <cell r="C54">
            <v>39</v>
          </cell>
          <cell r="D54" t="str">
            <v>M</v>
          </cell>
          <cell r="E54">
            <v>42</v>
          </cell>
          <cell r="F54">
            <v>8.9280000000000008</v>
          </cell>
          <cell r="G54">
            <v>11865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41</v>
          </cell>
          <cell r="D55" t="str">
            <v>F</v>
          </cell>
          <cell r="E55">
            <v>68</v>
          </cell>
          <cell r="F55">
            <v>20.251000000000001</v>
          </cell>
          <cell r="G55">
            <v>14247</v>
          </cell>
          <cell r="H55">
            <v>177412</v>
          </cell>
          <cell r="I55">
            <v>177412</v>
          </cell>
          <cell r="J55">
            <v>177412</v>
          </cell>
          <cell r="K55">
            <v>67626</v>
          </cell>
          <cell r="L55">
            <v>67626</v>
          </cell>
          <cell r="M55">
            <v>0</v>
          </cell>
          <cell r="N55">
            <v>67626</v>
          </cell>
          <cell r="O55">
            <v>67626</v>
          </cell>
          <cell r="P55">
            <v>67626</v>
          </cell>
          <cell r="Q55">
            <v>0</v>
          </cell>
        </row>
        <row r="56">
          <cell r="C56">
            <v>42</v>
          </cell>
          <cell r="D56" t="str">
            <v>F</v>
          </cell>
          <cell r="E56">
            <v>30</v>
          </cell>
          <cell r="F56">
            <v>4.8319999999999999</v>
          </cell>
          <cell r="G56">
            <v>9793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43</v>
          </cell>
          <cell r="D57" t="str">
            <v>F</v>
          </cell>
          <cell r="E57">
            <v>45</v>
          </cell>
          <cell r="F57">
            <v>8.9</v>
          </cell>
          <cell r="G57">
            <v>14454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C58">
            <v>44</v>
          </cell>
          <cell r="D58" t="str">
            <v>M</v>
          </cell>
          <cell r="E58">
            <v>51</v>
          </cell>
          <cell r="F58">
            <v>10.839</v>
          </cell>
          <cell r="G58">
            <v>14921</v>
          </cell>
          <cell r="H58">
            <v>52076</v>
          </cell>
          <cell r="I58">
            <v>52968</v>
          </cell>
          <cell r="J58">
            <v>52968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4828</v>
          </cell>
        </row>
        <row r="59">
          <cell r="C59">
            <v>45</v>
          </cell>
          <cell r="D59" t="str">
            <v>F</v>
          </cell>
          <cell r="E59">
            <v>28</v>
          </cell>
          <cell r="F59">
            <v>4.8259999999999996</v>
          </cell>
          <cell r="G59">
            <v>9016</v>
          </cell>
          <cell r="H59">
            <v>14013</v>
          </cell>
          <cell r="I59">
            <v>14222</v>
          </cell>
          <cell r="J59">
            <v>14222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2914</v>
          </cell>
        </row>
        <row r="60">
          <cell r="C60">
            <v>46</v>
          </cell>
          <cell r="D60" t="str">
            <v>F</v>
          </cell>
          <cell r="E60">
            <v>68</v>
          </cell>
          <cell r="F60">
            <v>24.585000000000001</v>
          </cell>
          <cell r="G60">
            <v>16526</v>
          </cell>
          <cell r="H60">
            <v>467260</v>
          </cell>
          <cell r="I60">
            <v>467260</v>
          </cell>
          <cell r="J60">
            <v>467260</v>
          </cell>
          <cell r="K60">
            <v>295864</v>
          </cell>
          <cell r="L60">
            <v>295864</v>
          </cell>
          <cell r="M60">
            <v>0</v>
          </cell>
          <cell r="N60">
            <v>295864</v>
          </cell>
          <cell r="O60">
            <v>295864</v>
          </cell>
          <cell r="P60">
            <v>295864</v>
          </cell>
          <cell r="Q60">
            <v>18835</v>
          </cell>
        </row>
        <row r="61">
          <cell r="C61">
            <v>47</v>
          </cell>
          <cell r="D61" t="str">
            <v>F</v>
          </cell>
          <cell r="E61">
            <v>68</v>
          </cell>
          <cell r="F61">
            <v>7.8540000000000001</v>
          </cell>
          <cell r="G61">
            <v>11347</v>
          </cell>
          <cell r="H61">
            <v>28699</v>
          </cell>
          <cell r="I61">
            <v>28699</v>
          </cell>
          <cell r="J61">
            <v>28699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3621</v>
          </cell>
        </row>
        <row r="62">
          <cell r="C62">
            <v>48</v>
          </cell>
          <cell r="D62" t="str">
            <v>F</v>
          </cell>
          <cell r="E62">
            <v>53</v>
          </cell>
          <cell r="F62">
            <v>22.751000000000001</v>
          </cell>
          <cell r="G62">
            <v>16733</v>
          </cell>
          <cell r="H62">
            <v>314307</v>
          </cell>
          <cell r="I62">
            <v>322072</v>
          </cell>
          <cell r="J62">
            <v>322072</v>
          </cell>
          <cell r="K62">
            <v>101439</v>
          </cell>
          <cell r="L62">
            <v>101439</v>
          </cell>
          <cell r="M62">
            <v>0</v>
          </cell>
          <cell r="N62">
            <v>101439</v>
          </cell>
          <cell r="O62">
            <v>101439</v>
          </cell>
          <cell r="P62">
            <v>101439</v>
          </cell>
          <cell r="Q62">
            <v>5457</v>
          </cell>
        </row>
        <row r="63">
          <cell r="C63">
            <v>50</v>
          </cell>
          <cell r="D63" t="str">
            <v>M</v>
          </cell>
          <cell r="E63">
            <v>58</v>
          </cell>
          <cell r="F63">
            <v>4.6760000000000002</v>
          </cell>
          <cell r="G63">
            <v>25850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C64">
            <v>71</v>
          </cell>
          <cell r="D64" t="str">
            <v>M</v>
          </cell>
          <cell r="E64">
            <v>57</v>
          </cell>
          <cell r="F64">
            <v>4.2510000000000003</v>
          </cell>
          <cell r="G64">
            <v>25850</v>
          </cell>
          <cell r="H64">
            <v>35391</v>
          </cell>
          <cell r="I64">
            <v>36303</v>
          </cell>
          <cell r="J64">
            <v>36303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8438</v>
          </cell>
        </row>
        <row r="65">
          <cell r="C65">
            <v>72</v>
          </cell>
          <cell r="D65" t="str">
            <v>F</v>
          </cell>
          <cell r="E65">
            <v>54</v>
          </cell>
          <cell r="F65">
            <v>17.251000000000001</v>
          </cell>
          <cell r="G65">
            <v>35588</v>
          </cell>
          <cell r="H65">
            <v>706016</v>
          </cell>
          <cell r="I65">
            <v>716169</v>
          </cell>
          <cell r="J65">
            <v>716169</v>
          </cell>
          <cell r="K65">
            <v>422663</v>
          </cell>
          <cell r="L65">
            <v>422663</v>
          </cell>
          <cell r="M65">
            <v>0</v>
          </cell>
          <cell r="N65">
            <v>422663</v>
          </cell>
          <cell r="O65">
            <v>422663</v>
          </cell>
          <cell r="P65">
            <v>422663</v>
          </cell>
          <cell r="Q65">
            <v>41028</v>
          </cell>
        </row>
        <row r="66">
          <cell r="C66">
            <v>73</v>
          </cell>
          <cell r="D66" t="str">
            <v>F</v>
          </cell>
          <cell r="E66">
            <v>54</v>
          </cell>
          <cell r="F66">
            <v>20.542000000000002</v>
          </cell>
          <cell r="G66">
            <v>15698</v>
          </cell>
          <cell r="H66">
            <v>199228</v>
          </cell>
          <cell r="I66">
            <v>204324</v>
          </cell>
          <cell r="J66">
            <v>204324</v>
          </cell>
          <cell r="K66">
            <v>101439</v>
          </cell>
          <cell r="L66">
            <v>101439</v>
          </cell>
          <cell r="M66">
            <v>0</v>
          </cell>
          <cell r="N66">
            <v>101439</v>
          </cell>
          <cell r="O66">
            <v>101439</v>
          </cell>
          <cell r="P66">
            <v>101439</v>
          </cell>
          <cell r="Q66">
            <v>0</v>
          </cell>
        </row>
        <row r="67">
          <cell r="C67">
            <v>74</v>
          </cell>
          <cell r="D67" t="str">
            <v>F</v>
          </cell>
          <cell r="E67">
            <v>54</v>
          </cell>
          <cell r="F67">
            <v>16.314</v>
          </cell>
          <cell r="G67">
            <v>18300</v>
          </cell>
          <cell r="H67">
            <v>343342</v>
          </cell>
          <cell r="I67">
            <v>352086</v>
          </cell>
          <cell r="J67">
            <v>352086</v>
          </cell>
          <cell r="K67">
            <v>211331</v>
          </cell>
          <cell r="L67">
            <v>211331</v>
          </cell>
          <cell r="M67">
            <v>0</v>
          </cell>
          <cell r="N67">
            <v>211331</v>
          </cell>
          <cell r="O67">
            <v>211331</v>
          </cell>
          <cell r="P67">
            <v>211331</v>
          </cell>
          <cell r="Q67">
            <v>21328</v>
          </cell>
        </row>
        <row r="68">
          <cell r="C68">
            <v>75</v>
          </cell>
          <cell r="D68" t="str">
            <v>F</v>
          </cell>
          <cell r="E68">
            <v>53</v>
          </cell>
          <cell r="F68">
            <v>15.211</v>
          </cell>
          <cell r="G68">
            <v>17169</v>
          </cell>
          <cell r="H68">
            <v>300333</v>
          </cell>
          <cell r="I68">
            <v>304730</v>
          </cell>
          <cell r="J68">
            <v>304730</v>
          </cell>
          <cell r="K68">
            <v>169065</v>
          </cell>
          <cell r="L68">
            <v>169065</v>
          </cell>
          <cell r="M68">
            <v>0</v>
          </cell>
          <cell r="N68">
            <v>169065</v>
          </cell>
          <cell r="O68">
            <v>169065</v>
          </cell>
          <cell r="P68">
            <v>169065</v>
          </cell>
          <cell r="Q68">
            <v>19798</v>
          </cell>
        </row>
        <row r="69">
          <cell r="C69">
            <v>76</v>
          </cell>
          <cell r="D69" t="str">
            <v>M</v>
          </cell>
          <cell r="E69">
            <v>52</v>
          </cell>
          <cell r="F69">
            <v>14.483000000000001</v>
          </cell>
          <cell r="G69">
            <v>20339</v>
          </cell>
          <cell r="H69">
            <v>338752</v>
          </cell>
          <cell r="I69">
            <v>342850</v>
          </cell>
          <cell r="J69">
            <v>342850</v>
          </cell>
          <cell r="K69">
            <v>185972</v>
          </cell>
          <cell r="L69">
            <v>185972</v>
          </cell>
          <cell r="M69">
            <v>0</v>
          </cell>
          <cell r="N69">
            <v>185972</v>
          </cell>
          <cell r="O69">
            <v>185972</v>
          </cell>
          <cell r="P69">
            <v>185972</v>
          </cell>
          <cell r="Q69">
            <v>23386</v>
          </cell>
        </row>
        <row r="70">
          <cell r="C70">
            <v>77</v>
          </cell>
          <cell r="D70" t="str">
            <v>F</v>
          </cell>
          <cell r="E70">
            <v>52</v>
          </cell>
          <cell r="F70">
            <v>6.5949999999999998</v>
          </cell>
          <cell r="G70">
            <v>16609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C71">
            <v>79</v>
          </cell>
          <cell r="D71" t="str">
            <v>F</v>
          </cell>
          <cell r="E71">
            <v>56</v>
          </cell>
          <cell r="F71">
            <v>4.2130000000000001</v>
          </cell>
          <cell r="G71">
            <v>13626</v>
          </cell>
          <cell r="H71">
            <v>18487</v>
          </cell>
          <cell r="I71">
            <v>18989</v>
          </cell>
          <cell r="J71">
            <v>18989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4456</v>
          </cell>
        </row>
        <row r="72">
          <cell r="C72">
            <v>80</v>
          </cell>
          <cell r="D72" t="str">
            <v>F</v>
          </cell>
          <cell r="E72">
            <v>55</v>
          </cell>
          <cell r="F72">
            <v>4.5960000000000001</v>
          </cell>
          <cell r="G72">
            <v>23571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81</v>
          </cell>
          <cell r="D73" t="str">
            <v>F</v>
          </cell>
          <cell r="E73">
            <v>52</v>
          </cell>
          <cell r="F73">
            <v>16.95</v>
          </cell>
          <cell r="G73">
            <v>16225</v>
          </cell>
          <cell r="H73">
            <v>249138</v>
          </cell>
          <cell r="I73">
            <v>271408</v>
          </cell>
          <cell r="J73">
            <v>295864</v>
          </cell>
          <cell r="K73">
            <v>295864</v>
          </cell>
          <cell r="L73">
            <v>295864</v>
          </cell>
          <cell r="M73">
            <v>0</v>
          </cell>
          <cell r="N73">
            <v>295864</v>
          </cell>
          <cell r="O73">
            <v>295864</v>
          </cell>
          <cell r="P73">
            <v>295864</v>
          </cell>
          <cell r="Q73">
            <v>6131</v>
          </cell>
        </row>
        <row r="74">
          <cell r="C74">
            <v>82</v>
          </cell>
          <cell r="D74" t="str">
            <v>F</v>
          </cell>
          <cell r="E74">
            <v>52</v>
          </cell>
          <cell r="F74">
            <v>5.867</v>
          </cell>
          <cell r="G74">
            <v>22742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84</v>
          </cell>
          <cell r="D75" t="str">
            <v>M</v>
          </cell>
          <cell r="E75">
            <v>50</v>
          </cell>
          <cell r="F75">
            <v>5.6749999999999998</v>
          </cell>
          <cell r="G75">
            <v>21913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C76">
            <v>85</v>
          </cell>
          <cell r="D76" t="str">
            <v>F</v>
          </cell>
          <cell r="E76">
            <v>49</v>
          </cell>
          <cell r="F76">
            <v>13.295</v>
          </cell>
          <cell r="G76">
            <v>10311</v>
          </cell>
          <cell r="H76">
            <v>63025</v>
          </cell>
          <cell r="I76">
            <v>63897</v>
          </cell>
          <cell r="J76">
            <v>63897</v>
          </cell>
          <cell r="K76">
            <v>1691</v>
          </cell>
          <cell r="L76">
            <v>1691</v>
          </cell>
          <cell r="M76">
            <v>0</v>
          </cell>
          <cell r="N76">
            <v>1691</v>
          </cell>
          <cell r="O76">
            <v>1691</v>
          </cell>
          <cell r="P76">
            <v>1691</v>
          </cell>
          <cell r="Q76">
            <v>3325</v>
          </cell>
        </row>
        <row r="77">
          <cell r="C77">
            <v>86</v>
          </cell>
          <cell r="D77" t="str">
            <v>F</v>
          </cell>
          <cell r="E77">
            <v>49</v>
          </cell>
          <cell r="F77">
            <v>11.478999999999999</v>
          </cell>
          <cell r="G77">
            <v>17703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C78">
            <v>87</v>
          </cell>
          <cell r="D78" t="str">
            <v>M</v>
          </cell>
          <cell r="E78">
            <v>48</v>
          </cell>
          <cell r="F78">
            <v>10.558999999999999</v>
          </cell>
          <cell r="G78">
            <v>23778</v>
          </cell>
          <cell r="H78">
            <v>144377</v>
          </cell>
          <cell r="I78">
            <v>145871</v>
          </cell>
          <cell r="J78">
            <v>145871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13647</v>
          </cell>
        </row>
        <row r="79">
          <cell r="C79">
            <v>88</v>
          </cell>
          <cell r="D79" t="str">
            <v>F</v>
          </cell>
          <cell r="E79">
            <v>48</v>
          </cell>
          <cell r="F79">
            <v>5.96</v>
          </cell>
          <cell r="G79">
            <v>20670</v>
          </cell>
          <cell r="H79">
            <v>70840</v>
          </cell>
          <cell r="I79">
            <v>72103</v>
          </cell>
          <cell r="J79">
            <v>72103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11951</v>
          </cell>
        </row>
        <row r="80">
          <cell r="C80">
            <v>90</v>
          </cell>
          <cell r="D80" t="str">
            <v>F</v>
          </cell>
          <cell r="E80">
            <v>42</v>
          </cell>
          <cell r="F80">
            <v>9.3770000000000007</v>
          </cell>
          <cell r="G80">
            <v>21084</v>
          </cell>
          <cell r="H80">
            <v>67580</v>
          </cell>
          <cell r="I80">
            <v>68360</v>
          </cell>
          <cell r="J80">
            <v>68360</v>
          </cell>
          <cell r="K80">
            <v>16907</v>
          </cell>
          <cell r="L80">
            <v>16907</v>
          </cell>
          <cell r="M80">
            <v>0</v>
          </cell>
          <cell r="N80">
            <v>16907</v>
          </cell>
          <cell r="O80">
            <v>16907</v>
          </cell>
          <cell r="P80">
            <v>16907</v>
          </cell>
          <cell r="Q80">
            <v>0</v>
          </cell>
        </row>
        <row r="81">
          <cell r="C81">
            <v>91</v>
          </cell>
          <cell r="D81" t="str">
            <v>F</v>
          </cell>
          <cell r="E81">
            <v>42</v>
          </cell>
          <cell r="F81">
            <v>10.872</v>
          </cell>
          <cell r="G81">
            <v>11471</v>
          </cell>
          <cell r="H81">
            <v>143418</v>
          </cell>
          <cell r="I81">
            <v>145302</v>
          </cell>
          <cell r="J81">
            <v>145302</v>
          </cell>
          <cell r="K81">
            <v>59173</v>
          </cell>
          <cell r="L81">
            <v>59173</v>
          </cell>
          <cell r="M81">
            <v>0</v>
          </cell>
          <cell r="N81">
            <v>59173</v>
          </cell>
          <cell r="O81">
            <v>59173</v>
          </cell>
          <cell r="P81">
            <v>59173</v>
          </cell>
          <cell r="Q81">
            <v>13203</v>
          </cell>
        </row>
        <row r="82">
          <cell r="C82">
            <v>92</v>
          </cell>
          <cell r="D82" t="str">
            <v>M</v>
          </cell>
          <cell r="E82">
            <v>51</v>
          </cell>
          <cell r="F82">
            <v>4.944</v>
          </cell>
          <cell r="G82">
            <v>11005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C83">
            <v>93</v>
          </cell>
          <cell r="D83" t="str">
            <v>F</v>
          </cell>
          <cell r="E83">
            <v>51</v>
          </cell>
          <cell r="F83">
            <v>5.423</v>
          </cell>
          <cell r="G83">
            <v>9611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C84">
            <v>94</v>
          </cell>
          <cell r="D84" t="str">
            <v>F</v>
          </cell>
          <cell r="E84">
            <v>50</v>
          </cell>
          <cell r="F84">
            <v>14.913</v>
          </cell>
          <cell r="G84">
            <v>12383</v>
          </cell>
          <cell r="H84">
            <v>212360</v>
          </cell>
          <cell r="I84">
            <v>215412</v>
          </cell>
          <cell r="J84">
            <v>215412</v>
          </cell>
          <cell r="K84">
            <v>169065</v>
          </cell>
          <cell r="L84">
            <v>169065</v>
          </cell>
          <cell r="M84">
            <v>0</v>
          </cell>
          <cell r="N84">
            <v>169065</v>
          </cell>
          <cell r="O84">
            <v>169065</v>
          </cell>
          <cell r="P84">
            <v>169065</v>
          </cell>
          <cell r="Q84">
            <v>14270</v>
          </cell>
        </row>
        <row r="85">
          <cell r="C85">
            <v>95</v>
          </cell>
          <cell r="D85" t="str">
            <v>F</v>
          </cell>
          <cell r="E85">
            <v>43</v>
          </cell>
          <cell r="F85">
            <v>4.6680000000000001</v>
          </cell>
          <cell r="G85">
            <v>14040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96</v>
          </cell>
          <cell r="D86" t="str">
            <v>M</v>
          </cell>
          <cell r="E86">
            <v>43</v>
          </cell>
          <cell r="F86">
            <v>4.84</v>
          </cell>
          <cell r="G86">
            <v>18598</v>
          </cell>
          <cell r="H86">
            <v>51764</v>
          </cell>
          <cell r="I86">
            <v>52330</v>
          </cell>
          <cell r="J86">
            <v>52330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10680</v>
          </cell>
        </row>
        <row r="87">
          <cell r="C87">
            <v>97</v>
          </cell>
          <cell r="D87" t="str">
            <v>M</v>
          </cell>
          <cell r="E87">
            <v>43</v>
          </cell>
          <cell r="F87">
            <v>4.9409999999999998</v>
          </cell>
          <cell r="G87">
            <v>14703</v>
          </cell>
          <cell r="H87">
            <v>41779</v>
          </cell>
          <cell r="I87">
            <v>42180</v>
          </cell>
          <cell r="J87">
            <v>42180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8432</v>
          </cell>
        </row>
        <row r="88">
          <cell r="C88">
            <v>98</v>
          </cell>
          <cell r="D88" t="str">
            <v>F</v>
          </cell>
          <cell r="E88">
            <v>45</v>
          </cell>
          <cell r="F88">
            <v>14.444000000000001</v>
          </cell>
          <cell r="G88">
            <v>19162</v>
          </cell>
          <cell r="H88">
            <v>318307</v>
          </cell>
          <cell r="I88">
            <v>322207</v>
          </cell>
          <cell r="J88">
            <v>322207</v>
          </cell>
          <cell r="K88">
            <v>59173</v>
          </cell>
          <cell r="L88">
            <v>59173</v>
          </cell>
          <cell r="M88">
            <v>0</v>
          </cell>
          <cell r="N88">
            <v>59173</v>
          </cell>
          <cell r="O88">
            <v>59173</v>
          </cell>
          <cell r="P88">
            <v>59173</v>
          </cell>
          <cell r="Q88">
            <v>22036</v>
          </cell>
        </row>
        <row r="89">
          <cell r="C89">
            <v>99</v>
          </cell>
          <cell r="D89" t="str">
            <v>F</v>
          </cell>
          <cell r="E89">
            <v>63</v>
          </cell>
          <cell r="F89">
            <v>15.794</v>
          </cell>
          <cell r="G89">
            <v>22804</v>
          </cell>
          <cell r="H89">
            <v>414209</v>
          </cell>
          <cell r="I89">
            <v>402591</v>
          </cell>
          <cell r="J89">
            <v>402591</v>
          </cell>
          <cell r="K89">
            <v>253598</v>
          </cell>
          <cell r="L89">
            <v>253598</v>
          </cell>
          <cell r="M89">
            <v>0</v>
          </cell>
          <cell r="N89">
            <v>253598</v>
          </cell>
          <cell r="O89">
            <v>253598</v>
          </cell>
          <cell r="P89">
            <v>253598</v>
          </cell>
          <cell r="Q89">
            <v>25261</v>
          </cell>
        </row>
        <row r="90">
          <cell r="C90">
            <v>100</v>
          </cell>
          <cell r="D90" t="str">
            <v>M</v>
          </cell>
          <cell r="E90">
            <v>64</v>
          </cell>
          <cell r="F90">
            <v>4.4729999999999999</v>
          </cell>
          <cell r="G90">
            <v>35588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C91">
            <v>101</v>
          </cell>
          <cell r="D91" t="str">
            <v>F</v>
          </cell>
          <cell r="E91">
            <v>44</v>
          </cell>
          <cell r="F91">
            <v>14.234</v>
          </cell>
          <cell r="G91">
            <v>25332</v>
          </cell>
          <cell r="H91">
            <v>147472</v>
          </cell>
          <cell r="I91">
            <v>149245</v>
          </cell>
          <cell r="J91">
            <v>149245</v>
          </cell>
          <cell r="K91">
            <v>42266</v>
          </cell>
          <cell r="L91">
            <v>42266</v>
          </cell>
          <cell r="M91">
            <v>0</v>
          </cell>
          <cell r="N91">
            <v>42266</v>
          </cell>
          <cell r="O91">
            <v>42266</v>
          </cell>
          <cell r="P91">
            <v>42266</v>
          </cell>
          <cell r="Q91">
            <v>0</v>
          </cell>
        </row>
        <row r="92">
          <cell r="C92">
            <v>102</v>
          </cell>
          <cell r="D92" t="str">
            <v>M</v>
          </cell>
          <cell r="E92">
            <v>40</v>
          </cell>
          <cell r="F92">
            <v>4.3280000000000003</v>
          </cell>
          <cell r="G92">
            <v>17769</v>
          </cell>
          <cell r="H92">
            <v>44226</v>
          </cell>
          <cell r="I92">
            <v>44687</v>
          </cell>
          <cell r="J92">
            <v>44687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10199</v>
          </cell>
        </row>
        <row r="93">
          <cell r="C93">
            <v>103</v>
          </cell>
          <cell r="D93" t="str">
            <v>M</v>
          </cell>
          <cell r="E93">
            <v>38</v>
          </cell>
          <cell r="F93">
            <v>4.29</v>
          </cell>
          <cell r="G93">
            <v>22069</v>
          </cell>
          <cell r="H93">
            <v>54440</v>
          </cell>
          <cell r="I93">
            <v>54969</v>
          </cell>
          <cell r="J93">
            <v>54969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12663</v>
          </cell>
        </row>
        <row r="94">
          <cell r="C94">
            <v>104</v>
          </cell>
          <cell r="D94" t="str">
            <v>M</v>
          </cell>
          <cell r="E94">
            <v>37</v>
          </cell>
          <cell r="F94">
            <v>4.0869999999999997</v>
          </cell>
          <cell r="G94">
            <v>11968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105</v>
          </cell>
          <cell r="D95" t="str">
            <v>M</v>
          </cell>
          <cell r="E95">
            <v>38</v>
          </cell>
          <cell r="F95">
            <v>4.7389999999999999</v>
          </cell>
          <cell r="G95">
            <v>13911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106</v>
          </cell>
          <cell r="D96" t="str">
            <v>F</v>
          </cell>
          <cell r="E96">
            <v>38</v>
          </cell>
          <cell r="F96">
            <v>4.67</v>
          </cell>
          <cell r="G96">
            <v>18598</v>
          </cell>
          <cell r="H96">
            <v>49949</v>
          </cell>
          <cell r="I96">
            <v>50515</v>
          </cell>
          <cell r="J96">
            <v>50515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10688</v>
          </cell>
        </row>
        <row r="97">
          <cell r="C97">
            <v>107</v>
          </cell>
          <cell r="D97" t="str">
            <v>M</v>
          </cell>
          <cell r="E97">
            <v>32</v>
          </cell>
          <cell r="F97">
            <v>4.96</v>
          </cell>
          <cell r="G97">
            <v>20670</v>
          </cell>
          <cell r="H97">
            <v>58963</v>
          </cell>
          <cell r="I97">
            <v>59851</v>
          </cell>
          <cell r="J97">
            <v>59851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11928</v>
          </cell>
        </row>
        <row r="98">
          <cell r="C98">
            <v>108</v>
          </cell>
          <cell r="D98" t="str">
            <v>F</v>
          </cell>
          <cell r="E98">
            <v>58</v>
          </cell>
          <cell r="F98">
            <v>10.673999999999999</v>
          </cell>
          <cell r="G98">
            <v>22742</v>
          </cell>
          <cell r="H98">
            <v>139591</v>
          </cell>
          <cell r="I98">
            <v>140722</v>
          </cell>
          <cell r="J98">
            <v>140722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13039</v>
          </cell>
        </row>
        <row r="99">
          <cell r="C99">
            <v>109</v>
          </cell>
          <cell r="D99" t="str">
            <v>M</v>
          </cell>
          <cell r="E99">
            <v>49</v>
          </cell>
          <cell r="F99">
            <v>4.2709999999999999</v>
          </cell>
          <cell r="G99">
            <v>20515</v>
          </cell>
          <cell r="H99">
            <v>50381</v>
          </cell>
          <cell r="I99">
            <v>51117</v>
          </cell>
          <cell r="J99">
            <v>51117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11823</v>
          </cell>
        </row>
        <row r="100">
          <cell r="C100">
            <v>110</v>
          </cell>
          <cell r="D100" t="str">
            <v>F</v>
          </cell>
          <cell r="E100">
            <v>56</v>
          </cell>
          <cell r="F100">
            <v>4.5419999999999998</v>
          </cell>
          <cell r="G100">
            <v>25228</v>
          </cell>
          <cell r="H100">
            <v>65888</v>
          </cell>
          <cell r="I100">
            <v>66666</v>
          </cell>
          <cell r="J100">
            <v>66666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14511</v>
          </cell>
        </row>
        <row r="101">
          <cell r="C101">
            <v>111</v>
          </cell>
          <cell r="D101" t="str">
            <v>F</v>
          </cell>
          <cell r="E101">
            <v>71</v>
          </cell>
          <cell r="F101">
            <v>17.998000000000001</v>
          </cell>
          <cell r="G101">
            <v>23156</v>
          </cell>
          <cell r="H101">
            <v>479298</v>
          </cell>
          <cell r="I101">
            <v>479298</v>
          </cell>
          <cell r="J101">
            <v>479298</v>
          </cell>
          <cell r="K101">
            <v>338130</v>
          </cell>
          <cell r="L101">
            <v>338130</v>
          </cell>
          <cell r="M101">
            <v>0</v>
          </cell>
          <cell r="N101">
            <v>338130</v>
          </cell>
          <cell r="O101">
            <v>338130</v>
          </cell>
          <cell r="P101">
            <v>338130</v>
          </cell>
          <cell r="Q101">
            <v>26391</v>
          </cell>
        </row>
        <row r="102">
          <cell r="C102">
            <v>112</v>
          </cell>
          <cell r="D102" t="str">
            <v>M</v>
          </cell>
          <cell r="E102">
            <v>53</v>
          </cell>
          <cell r="F102">
            <v>15.555999999999999</v>
          </cell>
          <cell r="G102">
            <v>20485</v>
          </cell>
          <cell r="H102">
            <v>366468</v>
          </cell>
          <cell r="I102">
            <v>373713</v>
          </cell>
          <cell r="J102">
            <v>373713</v>
          </cell>
          <cell r="K102">
            <v>228238</v>
          </cell>
          <cell r="L102">
            <v>228238</v>
          </cell>
          <cell r="M102">
            <v>0</v>
          </cell>
          <cell r="N102">
            <v>228238</v>
          </cell>
          <cell r="O102">
            <v>228238</v>
          </cell>
          <cell r="P102">
            <v>228238</v>
          </cell>
          <cell r="Q102">
            <v>23733</v>
          </cell>
        </row>
        <row r="103">
          <cell r="C103">
            <v>113</v>
          </cell>
          <cell r="D103" t="str">
            <v>M</v>
          </cell>
          <cell r="E103">
            <v>38</v>
          </cell>
          <cell r="F103">
            <v>4.8040000000000003</v>
          </cell>
          <cell r="G103">
            <v>20256</v>
          </cell>
          <cell r="H103">
            <v>55963</v>
          </cell>
          <cell r="I103">
            <v>56528</v>
          </cell>
          <cell r="J103">
            <v>56528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11627</v>
          </cell>
        </row>
        <row r="104">
          <cell r="C104">
            <v>115</v>
          </cell>
          <cell r="D104" t="str">
            <v>F</v>
          </cell>
          <cell r="E104">
            <v>65</v>
          </cell>
          <cell r="F104">
            <v>17.475000000000001</v>
          </cell>
          <cell r="G104">
            <v>14972</v>
          </cell>
          <cell r="H104">
            <v>300900</v>
          </cell>
          <cell r="I104">
            <v>300900</v>
          </cell>
          <cell r="J104">
            <v>300900</v>
          </cell>
          <cell r="K104">
            <v>109892</v>
          </cell>
          <cell r="L104">
            <v>109892</v>
          </cell>
          <cell r="M104">
            <v>0</v>
          </cell>
          <cell r="N104">
            <v>109892</v>
          </cell>
          <cell r="O104">
            <v>109892</v>
          </cell>
          <cell r="P104">
            <v>109892</v>
          </cell>
          <cell r="Q104">
            <v>17064</v>
          </cell>
        </row>
        <row r="105">
          <cell r="C105">
            <v>116</v>
          </cell>
          <cell r="D105" t="str">
            <v>F</v>
          </cell>
          <cell r="E105">
            <v>53</v>
          </cell>
          <cell r="F105">
            <v>5.423</v>
          </cell>
          <cell r="G105">
            <v>23985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C106">
            <v>117</v>
          </cell>
          <cell r="D106" t="str">
            <v>F</v>
          </cell>
          <cell r="E106">
            <v>72</v>
          </cell>
          <cell r="F106">
            <v>16.739000000000001</v>
          </cell>
          <cell r="G106">
            <v>19945</v>
          </cell>
          <cell r="H106">
            <v>383940</v>
          </cell>
          <cell r="I106">
            <v>383940</v>
          </cell>
          <cell r="J106">
            <v>383940</v>
          </cell>
          <cell r="K106">
            <v>139822</v>
          </cell>
          <cell r="L106">
            <v>139822</v>
          </cell>
          <cell r="M106">
            <v>0</v>
          </cell>
          <cell r="N106">
            <v>139822</v>
          </cell>
          <cell r="O106">
            <v>139822</v>
          </cell>
          <cell r="P106">
            <v>139822</v>
          </cell>
          <cell r="Q106">
            <v>22731</v>
          </cell>
        </row>
        <row r="107">
          <cell r="C107">
            <v>118</v>
          </cell>
          <cell r="D107" t="str">
            <v>F</v>
          </cell>
          <cell r="E107">
            <v>73</v>
          </cell>
          <cell r="F107">
            <v>14.069000000000001</v>
          </cell>
          <cell r="G107">
            <v>14289</v>
          </cell>
          <cell r="H107">
            <v>231194</v>
          </cell>
          <cell r="I107">
            <v>231194</v>
          </cell>
          <cell r="J107">
            <v>231194</v>
          </cell>
          <cell r="K107">
            <v>132658</v>
          </cell>
          <cell r="L107">
            <v>132658</v>
          </cell>
          <cell r="M107">
            <v>0</v>
          </cell>
          <cell r="N107">
            <v>132658</v>
          </cell>
          <cell r="O107">
            <v>132658</v>
          </cell>
          <cell r="P107">
            <v>132658</v>
          </cell>
          <cell r="Q107">
            <v>16285</v>
          </cell>
        </row>
        <row r="108">
          <cell r="C108">
            <v>119</v>
          </cell>
          <cell r="D108" t="str">
            <v>M</v>
          </cell>
          <cell r="E108">
            <v>64</v>
          </cell>
          <cell r="F108">
            <v>15.885</v>
          </cell>
          <cell r="G108">
            <v>18080</v>
          </cell>
          <cell r="H108">
            <v>330284</v>
          </cell>
          <cell r="I108">
            <v>338241</v>
          </cell>
          <cell r="J108">
            <v>338241</v>
          </cell>
          <cell r="K108">
            <v>46991</v>
          </cell>
          <cell r="L108">
            <v>46991</v>
          </cell>
          <cell r="M108">
            <v>0</v>
          </cell>
          <cell r="N108">
            <v>46991</v>
          </cell>
          <cell r="O108">
            <v>46991</v>
          </cell>
          <cell r="P108">
            <v>46991</v>
          </cell>
          <cell r="Q108">
            <v>21072</v>
          </cell>
        </row>
        <row r="109">
          <cell r="C109">
            <v>120</v>
          </cell>
          <cell r="D109" t="str">
            <v>M</v>
          </cell>
          <cell r="E109">
            <v>51</v>
          </cell>
          <cell r="F109">
            <v>12.224</v>
          </cell>
          <cell r="G109">
            <v>18598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121</v>
          </cell>
          <cell r="D110" t="str">
            <v>M</v>
          </cell>
          <cell r="E110">
            <v>67</v>
          </cell>
          <cell r="F110">
            <v>4.3310000000000004</v>
          </cell>
          <cell r="G110">
            <v>23778</v>
          </cell>
          <cell r="H110">
            <v>59218</v>
          </cell>
          <cell r="I110">
            <v>59218</v>
          </cell>
          <cell r="J110">
            <v>59218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13550</v>
          </cell>
        </row>
        <row r="111">
          <cell r="C111">
            <v>122</v>
          </cell>
          <cell r="D111" t="str">
            <v>M</v>
          </cell>
          <cell r="E111">
            <v>73</v>
          </cell>
          <cell r="F111">
            <v>17.998000000000001</v>
          </cell>
          <cell r="G111">
            <v>22742</v>
          </cell>
          <cell r="H111">
            <v>470721</v>
          </cell>
          <cell r="I111">
            <v>470721</v>
          </cell>
          <cell r="J111">
            <v>470721</v>
          </cell>
          <cell r="K111">
            <v>277053</v>
          </cell>
          <cell r="L111">
            <v>277053</v>
          </cell>
          <cell r="M111">
            <v>0</v>
          </cell>
          <cell r="N111">
            <v>277053</v>
          </cell>
          <cell r="O111">
            <v>277053</v>
          </cell>
          <cell r="P111">
            <v>277053</v>
          </cell>
          <cell r="Q111">
            <v>25919</v>
          </cell>
        </row>
        <row r="112">
          <cell r="C112">
            <v>123</v>
          </cell>
          <cell r="D112" t="str">
            <v>M</v>
          </cell>
          <cell r="E112">
            <v>33</v>
          </cell>
          <cell r="F112">
            <v>4.9080000000000004</v>
          </cell>
          <cell r="G112">
            <v>8653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C113">
            <v>124</v>
          </cell>
          <cell r="D113" t="str">
            <v>M</v>
          </cell>
          <cell r="E113">
            <v>42</v>
          </cell>
          <cell r="F113">
            <v>8.5060000000000002</v>
          </cell>
          <cell r="G113">
            <v>6581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>
            <v>125</v>
          </cell>
          <cell r="D114" t="str">
            <v>F</v>
          </cell>
          <cell r="E114">
            <v>47</v>
          </cell>
          <cell r="F114">
            <v>8.1669999999999998</v>
          </cell>
          <cell r="G114">
            <v>6581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126</v>
          </cell>
          <cell r="D115" t="str">
            <v>F</v>
          </cell>
          <cell r="E115">
            <v>61</v>
          </cell>
          <cell r="F115">
            <v>6.343</v>
          </cell>
          <cell r="G115">
            <v>7514</v>
          </cell>
          <cell r="H115">
            <v>54813</v>
          </cell>
          <cell r="I115">
            <v>56020</v>
          </cell>
          <cell r="J115">
            <v>56020</v>
          </cell>
          <cell r="K115">
            <v>14054</v>
          </cell>
          <cell r="L115">
            <v>14054</v>
          </cell>
          <cell r="M115">
            <v>0</v>
          </cell>
          <cell r="N115">
            <v>14054</v>
          </cell>
          <cell r="O115">
            <v>14054</v>
          </cell>
          <cell r="P115">
            <v>14054</v>
          </cell>
          <cell r="Q115">
            <v>8739</v>
          </cell>
        </row>
        <row r="116">
          <cell r="C116">
            <v>129</v>
          </cell>
          <cell r="D116" t="str">
            <v>M</v>
          </cell>
          <cell r="E116">
            <v>60</v>
          </cell>
          <cell r="F116">
            <v>6.7889999999999997</v>
          </cell>
          <cell r="G116">
            <v>8239</v>
          </cell>
          <cell r="H116">
            <v>64331</v>
          </cell>
          <cell r="I116">
            <v>64919</v>
          </cell>
          <cell r="J116">
            <v>64919</v>
          </cell>
          <cell r="K116">
            <v>16454</v>
          </cell>
          <cell r="L116">
            <v>16454</v>
          </cell>
          <cell r="M116">
            <v>0</v>
          </cell>
          <cell r="N116">
            <v>16454</v>
          </cell>
          <cell r="O116">
            <v>16454</v>
          </cell>
          <cell r="P116">
            <v>16454</v>
          </cell>
          <cell r="Q116">
            <v>9453</v>
          </cell>
        </row>
        <row r="117">
          <cell r="C117">
            <v>130</v>
          </cell>
          <cell r="D117" t="str">
            <v>F</v>
          </cell>
          <cell r="E117">
            <v>51</v>
          </cell>
          <cell r="F117">
            <v>7.1639999999999997</v>
          </cell>
          <cell r="G117">
            <v>8498</v>
          </cell>
          <cell r="H117">
            <v>70019</v>
          </cell>
          <cell r="I117">
            <v>71042</v>
          </cell>
          <cell r="J117">
            <v>71042</v>
          </cell>
          <cell r="K117">
            <v>16842</v>
          </cell>
          <cell r="L117">
            <v>16842</v>
          </cell>
          <cell r="M117">
            <v>0</v>
          </cell>
          <cell r="N117">
            <v>16842</v>
          </cell>
          <cell r="O117">
            <v>16842</v>
          </cell>
          <cell r="P117">
            <v>16842</v>
          </cell>
          <cell r="Q117">
            <v>9799</v>
          </cell>
        </row>
        <row r="118">
          <cell r="C118">
            <v>131</v>
          </cell>
          <cell r="D118" t="str">
            <v>F</v>
          </cell>
          <cell r="E118">
            <v>46</v>
          </cell>
          <cell r="F118">
            <v>7.1639999999999997</v>
          </cell>
          <cell r="G118">
            <v>15490</v>
          </cell>
          <cell r="H118">
            <v>63818</v>
          </cell>
          <cell r="I118">
            <v>64825</v>
          </cell>
          <cell r="J118">
            <v>64825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8938</v>
          </cell>
        </row>
        <row r="119">
          <cell r="C119">
            <v>132</v>
          </cell>
          <cell r="D119" t="str">
            <v>F</v>
          </cell>
          <cell r="E119">
            <v>40</v>
          </cell>
          <cell r="F119">
            <v>7.1639999999999997</v>
          </cell>
          <cell r="G119">
            <v>8032</v>
          </cell>
          <cell r="H119">
            <v>66178</v>
          </cell>
          <cell r="I119">
            <v>66995</v>
          </cell>
          <cell r="J119">
            <v>66995</v>
          </cell>
          <cell r="K119">
            <v>15884</v>
          </cell>
          <cell r="L119">
            <v>15884</v>
          </cell>
          <cell r="M119">
            <v>0</v>
          </cell>
          <cell r="N119">
            <v>15884</v>
          </cell>
          <cell r="O119">
            <v>15884</v>
          </cell>
          <cell r="P119">
            <v>15884</v>
          </cell>
          <cell r="Q119">
            <v>9237</v>
          </cell>
        </row>
        <row r="120">
          <cell r="C120">
            <v>133</v>
          </cell>
          <cell r="D120" t="str">
            <v>M</v>
          </cell>
          <cell r="E120">
            <v>53</v>
          </cell>
          <cell r="F120">
            <v>6.6879999999999997</v>
          </cell>
          <cell r="G120">
            <v>16526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>
            <v>134</v>
          </cell>
          <cell r="D121" t="str">
            <v>F</v>
          </cell>
          <cell r="E121">
            <v>50</v>
          </cell>
          <cell r="F121">
            <v>7.1639999999999997</v>
          </cell>
          <cell r="G121">
            <v>8032</v>
          </cell>
          <cell r="H121">
            <v>66178</v>
          </cell>
          <cell r="I121">
            <v>67130</v>
          </cell>
          <cell r="J121">
            <v>67130</v>
          </cell>
          <cell r="K121">
            <v>21344</v>
          </cell>
          <cell r="L121">
            <v>21344</v>
          </cell>
          <cell r="M121">
            <v>0</v>
          </cell>
          <cell r="N121">
            <v>21344</v>
          </cell>
          <cell r="O121">
            <v>21344</v>
          </cell>
          <cell r="P121">
            <v>21344</v>
          </cell>
          <cell r="Q121">
            <v>9256</v>
          </cell>
        </row>
        <row r="122">
          <cell r="C122">
            <v>135</v>
          </cell>
          <cell r="D122" t="str">
            <v>F</v>
          </cell>
          <cell r="E122">
            <v>37</v>
          </cell>
          <cell r="F122">
            <v>7.1639999999999997</v>
          </cell>
          <cell r="G122">
            <v>12383</v>
          </cell>
          <cell r="H122">
            <v>102028</v>
          </cell>
          <cell r="I122">
            <v>103183</v>
          </cell>
          <cell r="J122">
            <v>103183</v>
          </cell>
          <cell r="K122">
            <v>30461</v>
          </cell>
          <cell r="L122">
            <v>30461</v>
          </cell>
          <cell r="M122">
            <v>0</v>
          </cell>
          <cell r="N122">
            <v>30461</v>
          </cell>
          <cell r="O122">
            <v>30461</v>
          </cell>
          <cell r="P122">
            <v>30461</v>
          </cell>
          <cell r="Q122">
            <v>14232</v>
          </cell>
        </row>
        <row r="123">
          <cell r="C123">
            <v>136</v>
          </cell>
          <cell r="D123" t="str">
            <v>F</v>
          </cell>
          <cell r="E123">
            <v>46</v>
          </cell>
          <cell r="F123">
            <v>7.1639999999999997</v>
          </cell>
          <cell r="G123">
            <v>8342</v>
          </cell>
          <cell r="H123">
            <v>68738</v>
          </cell>
          <cell r="I123">
            <v>69605</v>
          </cell>
          <cell r="J123">
            <v>69605</v>
          </cell>
          <cell r="K123">
            <v>15721</v>
          </cell>
          <cell r="L123">
            <v>15721</v>
          </cell>
          <cell r="M123">
            <v>0</v>
          </cell>
          <cell r="N123">
            <v>15721</v>
          </cell>
          <cell r="O123">
            <v>15721</v>
          </cell>
          <cell r="P123">
            <v>15721</v>
          </cell>
          <cell r="Q123">
            <v>9597</v>
          </cell>
        </row>
        <row r="124">
          <cell r="C124">
            <v>137</v>
          </cell>
          <cell r="D124" t="str">
            <v>M</v>
          </cell>
          <cell r="E124">
            <v>59</v>
          </cell>
          <cell r="F124">
            <v>7.1639999999999997</v>
          </cell>
          <cell r="G124">
            <v>11839</v>
          </cell>
          <cell r="H124">
            <v>97547</v>
          </cell>
          <cell r="I124">
            <v>98552</v>
          </cell>
          <cell r="J124">
            <v>98552</v>
          </cell>
          <cell r="K124">
            <v>40820</v>
          </cell>
          <cell r="L124">
            <v>40820</v>
          </cell>
          <cell r="M124">
            <v>0</v>
          </cell>
          <cell r="N124">
            <v>40820</v>
          </cell>
          <cell r="O124">
            <v>40820</v>
          </cell>
          <cell r="P124">
            <v>40820</v>
          </cell>
          <cell r="Q124">
            <v>13599</v>
          </cell>
        </row>
        <row r="125">
          <cell r="C125">
            <v>138</v>
          </cell>
          <cell r="D125" t="str">
            <v>M</v>
          </cell>
          <cell r="E125">
            <v>55</v>
          </cell>
          <cell r="F125">
            <v>5.3490000000000002</v>
          </cell>
          <cell r="G125">
            <v>24296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139</v>
          </cell>
          <cell r="D126" t="str">
            <v>M</v>
          </cell>
          <cell r="E126">
            <v>49</v>
          </cell>
          <cell r="F126">
            <v>7.1639999999999997</v>
          </cell>
          <cell r="G126">
            <v>12383</v>
          </cell>
          <cell r="H126">
            <v>51014</v>
          </cell>
          <cell r="I126">
            <v>51561</v>
          </cell>
          <cell r="J126">
            <v>51561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7109</v>
          </cell>
        </row>
        <row r="127">
          <cell r="C127">
            <v>140</v>
          </cell>
          <cell r="D127" t="str">
            <v>F</v>
          </cell>
          <cell r="E127">
            <v>48</v>
          </cell>
          <cell r="F127">
            <v>4.3659999999999997</v>
          </cell>
          <cell r="G127">
            <v>8446</v>
          </cell>
          <cell r="H127">
            <v>42415</v>
          </cell>
          <cell r="I127">
            <v>42981</v>
          </cell>
          <cell r="J127">
            <v>42981</v>
          </cell>
          <cell r="K127">
            <v>8884</v>
          </cell>
          <cell r="L127">
            <v>8884</v>
          </cell>
          <cell r="M127">
            <v>0</v>
          </cell>
          <cell r="N127">
            <v>8884</v>
          </cell>
          <cell r="O127">
            <v>8884</v>
          </cell>
          <cell r="P127">
            <v>8884</v>
          </cell>
          <cell r="Q127">
            <v>9723</v>
          </cell>
        </row>
        <row r="128">
          <cell r="C128">
            <v>142</v>
          </cell>
          <cell r="D128" t="str">
            <v>M</v>
          </cell>
          <cell r="E128">
            <v>56</v>
          </cell>
          <cell r="F128">
            <v>4.8650000000000002</v>
          </cell>
          <cell r="G128">
            <v>11347</v>
          </cell>
          <cell r="H128">
            <v>63483</v>
          </cell>
          <cell r="I128">
            <v>65016</v>
          </cell>
          <cell r="J128">
            <v>65016</v>
          </cell>
          <cell r="K128">
            <v>9999</v>
          </cell>
          <cell r="L128">
            <v>9999</v>
          </cell>
          <cell r="M128">
            <v>0</v>
          </cell>
          <cell r="N128">
            <v>9999</v>
          </cell>
          <cell r="O128">
            <v>9999</v>
          </cell>
          <cell r="P128">
            <v>9999</v>
          </cell>
          <cell r="Q128">
            <v>13207</v>
          </cell>
        </row>
        <row r="129">
          <cell r="C129">
            <v>143</v>
          </cell>
          <cell r="D129" t="str">
            <v>F</v>
          </cell>
          <cell r="E129">
            <v>45</v>
          </cell>
          <cell r="F129">
            <v>4.8040000000000003</v>
          </cell>
          <cell r="G129">
            <v>7824</v>
          </cell>
          <cell r="H129">
            <v>43235</v>
          </cell>
          <cell r="I129">
            <v>43882</v>
          </cell>
          <cell r="J129">
            <v>43882</v>
          </cell>
          <cell r="K129">
            <v>3680</v>
          </cell>
          <cell r="L129">
            <v>3680</v>
          </cell>
          <cell r="M129">
            <v>0</v>
          </cell>
          <cell r="N129">
            <v>3680</v>
          </cell>
          <cell r="O129">
            <v>3680</v>
          </cell>
          <cell r="P129">
            <v>3680</v>
          </cell>
          <cell r="Q129">
            <v>9022</v>
          </cell>
        </row>
        <row r="130">
          <cell r="C130">
            <v>144</v>
          </cell>
          <cell r="D130" t="str">
            <v>M</v>
          </cell>
          <cell r="E130">
            <v>43</v>
          </cell>
          <cell r="F130">
            <v>4.9989999999999997</v>
          </cell>
          <cell r="G130">
            <v>25813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C131">
            <v>146</v>
          </cell>
          <cell r="D131" t="str">
            <v>F</v>
          </cell>
          <cell r="E131">
            <v>34</v>
          </cell>
          <cell r="F131">
            <v>4.6159999999999997</v>
          </cell>
          <cell r="G131">
            <v>11606</v>
          </cell>
          <cell r="H131">
            <v>61607</v>
          </cell>
          <cell r="I131">
            <v>62470</v>
          </cell>
          <cell r="J131">
            <v>62470</v>
          </cell>
          <cell r="K131">
            <v>9275</v>
          </cell>
          <cell r="L131">
            <v>9275</v>
          </cell>
          <cell r="M131">
            <v>0</v>
          </cell>
          <cell r="N131">
            <v>9275</v>
          </cell>
          <cell r="O131">
            <v>9275</v>
          </cell>
          <cell r="P131">
            <v>9275</v>
          </cell>
          <cell r="Q131">
            <v>13380</v>
          </cell>
        </row>
        <row r="132">
          <cell r="C132">
            <v>147</v>
          </cell>
          <cell r="D132" t="str">
            <v>M</v>
          </cell>
          <cell r="E132">
            <v>42</v>
          </cell>
          <cell r="F132">
            <v>4.7519999999999998</v>
          </cell>
          <cell r="G132">
            <v>12900</v>
          </cell>
          <cell r="H132">
            <v>70512</v>
          </cell>
          <cell r="I132">
            <v>71269</v>
          </cell>
          <cell r="J132">
            <v>71269</v>
          </cell>
          <cell r="K132">
            <v>10547</v>
          </cell>
          <cell r="L132">
            <v>10547</v>
          </cell>
          <cell r="M132">
            <v>0</v>
          </cell>
          <cell r="N132">
            <v>10547</v>
          </cell>
          <cell r="O132">
            <v>10547</v>
          </cell>
          <cell r="P132">
            <v>10547</v>
          </cell>
          <cell r="Q132">
            <v>14813</v>
          </cell>
        </row>
        <row r="133">
          <cell r="C133">
            <v>148</v>
          </cell>
          <cell r="D133" t="str">
            <v>M</v>
          </cell>
          <cell r="E133">
            <v>46</v>
          </cell>
          <cell r="F133">
            <v>4.7329999999999997</v>
          </cell>
          <cell r="G133">
            <v>10311</v>
          </cell>
          <cell r="H133">
            <v>56129</v>
          </cell>
          <cell r="I133">
            <v>56679</v>
          </cell>
          <cell r="J133">
            <v>56679</v>
          </cell>
          <cell r="K133">
            <v>8754</v>
          </cell>
          <cell r="L133">
            <v>8754</v>
          </cell>
          <cell r="M133">
            <v>0</v>
          </cell>
          <cell r="N133">
            <v>8754</v>
          </cell>
          <cell r="O133">
            <v>8754</v>
          </cell>
          <cell r="P133">
            <v>8754</v>
          </cell>
          <cell r="Q133">
            <v>11829</v>
          </cell>
        </row>
        <row r="134">
          <cell r="C134">
            <v>149</v>
          </cell>
          <cell r="D134" t="str">
            <v>F</v>
          </cell>
          <cell r="E134">
            <v>41</v>
          </cell>
          <cell r="F134">
            <v>4.6369999999999996</v>
          </cell>
          <cell r="G134">
            <v>7617</v>
          </cell>
          <cell r="H134">
            <v>40627</v>
          </cell>
          <cell r="I134">
            <v>41142</v>
          </cell>
          <cell r="J134">
            <v>41142</v>
          </cell>
          <cell r="K134">
            <v>5423</v>
          </cell>
          <cell r="L134">
            <v>5423</v>
          </cell>
          <cell r="M134">
            <v>0</v>
          </cell>
          <cell r="N134">
            <v>5423</v>
          </cell>
          <cell r="O134">
            <v>5423</v>
          </cell>
          <cell r="P134">
            <v>5423</v>
          </cell>
          <cell r="Q134">
            <v>8764</v>
          </cell>
        </row>
        <row r="135">
          <cell r="C135">
            <v>150</v>
          </cell>
          <cell r="D135" t="str">
            <v>F</v>
          </cell>
          <cell r="E135">
            <v>31</v>
          </cell>
          <cell r="F135">
            <v>4.6349999999999998</v>
          </cell>
          <cell r="G135">
            <v>7824</v>
          </cell>
          <cell r="H135">
            <v>41708</v>
          </cell>
          <cell r="I135">
            <v>42373</v>
          </cell>
          <cell r="J135">
            <v>42373</v>
          </cell>
          <cell r="K135">
            <v>5599</v>
          </cell>
          <cell r="L135">
            <v>5599</v>
          </cell>
          <cell r="M135">
            <v>0</v>
          </cell>
          <cell r="N135">
            <v>5599</v>
          </cell>
          <cell r="O135">
            <v>5599</v>
          </cell>
          <cell r="P135">
            <v>5599</v>
          </cell>
          <cell r="Q135">
            <v>9038</v>
          </cell>
        </row>
        <row r="136">
          <cell r="C136" t="str">
            <v>All</v>
          </cell>
          <cell r="G136">
            <v>1915215</v>
          </cell>
          <cell r="H136">
            <v>13192047</v>
          </cell>
          <cell r="I136">
            <v>13394404</v>
          </cell>
          <cell r="J136">
            <v>13460315</v>
          </cell>
          <cell r="K136">
            <v>5929266</v>
          </cell>
          <cell r="L136">
            <v>5929266</v>
          </cell>
          <cell r="M136">
            <v>0</v>
          </cell>
          <cell r="N136">
            <v>5929266</v>
          </cell>
          <cell r="O136">
            <v>5929266</v>
          </cell>
          <cell r="P136">
            <v>5929266</v>
          </cell>
          <cell r="Q136">
            <v>968029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8347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40</v>
          </cell>
          <cell r="F25">
            <v>11.561</v>
          </cell>
        </row>
        <row r="26">
          <cell r="C26">
            <v>7</v>
          </cell>
          <cell r="D26" t="str">
            <v>F</v>
          </cell>
          <cell r="E26">
            <v>57</v>
          </cell>
          <cell r="F26">
            <v>9.5</v>
          </cell>
          <cell r="G26">
            <v>23887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C27">
            <v>9</v>
          </cell>
          <cell r="D27" t="str">
            <v>F</v>
          </cell>
          <cell r="E27">
            <v>53</v>
          </cell>
          <cell r="F27">
            <v>23.591999999999999</v>
          </cell>
          <cell r="G27">
            <v>11797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11</v>
          </cell>
          <cell r="D28" t="str">
            <v>M</v>
          </cell>
          <cell r="E28">
            <v>52</v>
          </cell>
          <cell r="F28">
            <v>22.838999999999999</v>
          </cell>
          <cell r="G28">
            <v>23265</v>
          </cell>
          <cell r="H28">
            <v>531346</v>
          </cell>
          <cell r="I28">
            <v>407251</v>
          </cell>
          <cell r="J28">
            <v>407251</v>
          </cell>
          <cell r="K28">
            <v>321224</v>
          </cell>
          <cell r="L28">
            <v>321224</v>
          </cell>
          <cell r="M28">
            <v>0</v>
          </cell>
          <cell r="N28">
            <v>321224</v>
          </cell>
          <cell r="O28">
            <v>321224</v>
          </cell>
          <cell r="P28">
            <v>321224</v>
          </cell>
          <cell r="Q28">
            <v>304752</v>
          </cell>
        </row>
        <row r="29">
          <cell r="C29">
            <v>13</v>
          </cell>
          <cell r="D29" t="str">
            <v>M</v>
          </cell>
          <cell r="E29">
            <v>52</v>
          </cell>
          <cell r="F29">
            <v>24.974</v>
          </cell>
          <cell r="G29">
            <v>24663</v>
          </cell>
          <cell r="H29">
            <v>615957</v>
          </cell>
          <cell r="I29">
            <v>398004</v>
          </cell>
          <cell r="J29">
            <v>398004</v>
          </cell>
          <cell r="K29">
            <v>211331</v>
          </cell>
          <cell r="L29">
            <v>211331</v>
          </cell>
          <cell r="M29">
            <v>0</v>
          </cell>
          <cell r="N29">
            <v>211331</v>
          </cell>
          <cell r="O29">
            <v>211331</v>
          </cell>
          <cell r="P29">
            <v>211331</v>
          </cell>
          <cell r="Q29">
            <v>289865</v>
          </cell>
        </row>
        <row r="30">
          <cell r="C30">
            <v>15</v>
          </cell>
          <cell r="D30" t="str">
            <v>M</v>
          </cell>
          <cell r="E30">
            <v>55</v>
          </cell>
          <cell r="F30">
            <v>13.888999999999999</v>
          </cell>
          <cell r="G30">
            <v>32029</v>
          </cell>
          <cell r="H30">
            <v>124558</v>
          </cell>
          <cell r="I30">
            <v>63291</v>
          </cell>
          <cell r="J30">
            <v>63291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53327</v>
          </cell>
        </row>
        <row r="31">
          <cell r="C31">
            <v>17</v>
          </cell>
          <cell r="D31" t="str">
            <v>F</v>
          </cell>
          <cell r="E31">
            <v>55</v>
          </cell>
          <cell r="F31">
            <v>18.954000000000001</v>
          </cell>
          <cell r="G31">
            <v>18137</v>
          </cell>
          <cell r="H31">
            <v>96255</v>
          </cell>
          <cell r="I31">
            <v>60286</v>
          </cell>
          <cell r="J31">
            <v>60286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48046</v>
          </cell>
        </row>
        <row r="32">
          <cell r="C32">
            <v>19</v>
          </cell>
          <cell r="D32" t="str">
            <v>M</v>
          </cell>
          <cell r="E32">
            <v>54</v>
          </cell>
          <cell r="F32">
            <v>8.1720000000000006</v>
          </cell>
          <cell r="G32">
            <v>21866</v>
          </cell>
          <cell r="H32">
            <v>178701</v>
          </cell>
          <cell r="I32">
            <v>114493</v>
          </cell>
          <cell r="J32">
            <v>114493</v>
          </cell>
          <cell r="K32">
            <v>42266</v>
          </cell>
          <cell r="L32">
            <v>42266</v>
          </cell>
          <cell r="M32">
            <v>0</v>
          </cell>
          <cell r="N32">
            <v>42266</v>
          </cell>
          <cell r="O32">
            <v>42266</v>
          </cell>
          <cell r="P32">
            <v>42266</v>
          </cell>
          <cell r="Q32">
            <v>103154</v>
          </cell>
        </row>
        <row r="33">
          <cell r="C33">
            <v>21</v>
          </cell>
          <cell r="D33" t="str">
            <v>M</v>
          </cell>
          <cell r="E33">
            <v>53</v>
          </cell>
          <cell r="F33">
            <v>24.01</v>
          </cell>
          <cell r="G33">
            <v>20468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25</v>
          </cell>
          <cell r="D34" t="str">
            <v>M</v>
          </cell>
          <cell r="E34">
            <v>51</v>
          </cell>
          <cell r="F34">
            <v>14.176</v>
          </cell>
          <cell r="G34">
            <v>9746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27</v>
          </cell>
          <cell r="D35" t="str">
            <v>M</v>
          </cell>
          <cell r="E35">
            <v>48</v>
          </cell>
          <cell r="F35">
            <v>18.954000000000001</v>
          </cell>
          <cell r="G35">
            <v>12077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31</v>
          </cell>
          <cell r="D36" t="str">
            <v>F</v>
          </cell>
          <cell r="E36">
            <v>40</v>
          </cell>
          <cell r="F36">
            <v>8.8480000000000008</v>
          </cell>
          <cell r="G36">
            <v>8546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33</v>
          </cell>
          <cell r="D37" t="str">
            <v>F</v>
          </cell>
          <cell r="E37">
            <v>39</v>
          </cell>
          <cell r="F37">
            <v>17.920999999999999</v>
          </cell>
          <cell r="G37">
            <v>8044</v>
          </cell>
          <cell r="H37">
            <v>144168</v>
          </cell>
          <cell r="I37">
            <v>87992</v>
          </cell>
          <cell r="J37">
            <v>87992</v>
          </cell>
          <cell r="K37">
            <v>67626</v>
          </cell>
          <cell r="L37">
            <v>67626</v>
          </cell>
          <cell r="M37">
            <v>0</v>
          </cell>
          <cell r="N37">
            <v>67626</v>
          </cell>
          <cell r="O37">
            <v>67626</v>
          </cell>
          <cell r="P37">
            <v>67626</v>
          </cell>
          <cell r="Q37">
            <v>70547</v>
          </cell>
        </row>
        <row r="38">
          <cell r="C38">
            <v>37</v>
          </cell>
          <cell r="D38" t="str">
            <v>M</v>
          </cell>
          <cell r="E38">
            <v>49</v>
          </cell>
          <cell r="F38">
            <v>18.672000000000001</v>
          </cell>
          <cell r="G38">
            <v>17204</v>
          </cell>
          <cell r="H38">
            <v>321244</v>
          </cell>
          <cell r="I38">
            <v>186999</v>
          </cell>
          <cell r="J38">
            <v>186999</v>
          </cell>
          <cell r="K38">
            <v>126799</v>
          </cell>
          <cell r="L38">
            <v>126799</v>
          </cell>
          <cell r="M38">
            <v>0</v>
          </cell>
          <cell r="N38">
            <v>126799</v>
          </cell>
          <cell r="O38">
            <v>126799</v>
          </cell>
          <cell r="P38">
            <v>126799</v>
          </cell>
          <cell r="Q38">
            <v>147579</v>
          </cell>
        </row>
        <row r="39">
          <cell r="C39">
            <v>39</v>
          </cell>
          <cell r="D39" t="str">
            <v>M</v>
          </cell>
          <cell r="E39">
            <v>41</v>
          </cell>
          <cell r="F39">
            <v>12.432</v>
          </cell>
          <cell r="G39">
            <v>10678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41</v>
          </cell>
          <cell r="D40" t="str">
            <v>F</v>
          </cell>
          <cell r="E40">
            <v>56</v>
          </cell>
          <cell r="F40">
            <v>23.753</v>
          </cell>
          <cell r="G40">
            <v>12822</v>
          </cell>
          <cell r="H40">
            <v>304580</v>
          </cell>
          <cell r="I40">
            <v>223882</v>
          </cell>
          <cell r="J40">
            <v>223882</v>
          </cell>
          <cell r="K40">
            <v>130000</v>
          </cell>
          <cell r="L40">
            <v>130000</v>
          </cell>
          <cell r="M40">
            <v>0</v>
          </cell>
          <cell r="N40">
            <v>130000</v>
          </cell>
          <cell r="O40">
            <v>130000</v>
          </cell>
          <cell r="P40">
            <v>130000</v>
          </cell>
          <cell r="Q40">
            <v>170225</v>
          </cell>
        </row>
        <row r="41">
          <cell r="C41">
            <v>43</v>
          </cell>
          <cell r="D41" t="str">
            <v>F</v>
          </cell>
          <cell r="E41">
            <v>43</v>
          </cell>
          <cell r="F41">
            <v>12.404999999999999</v>
          </cell>
          <cell r="G41">
            <v>13009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45</v>
          </cell>
          <cell r="D42" t="str">
            <v>F</v>
          </cell>
          <cell r="E42">
            <v>26</v>
          </cell>
          <cell r="F42">
            <v>5.3250000000000002</v>
          </cell>
          <cell r="G42">
            <v>8114</v>
          </cell>
          <cell r="H42">
            <v>12098</v>
          </cell>
          <cell r="I42">
            <v>3097</v>
          </cell>
          <cell r="J42">
            <v>3097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2919</v>
          </cell>
        </row>
        <row r="43">
          <cell r="C43">
            <v>47</v>
          </cell>
          <cell r="D43" t="str">
            <v>F</v>
          </cell>
          <cell r="E43">
            <v>57</v>
          </cell>
          <cell r="F43">
            <v>11.359</v>
          </cell>
          <cell r="G43">
            <v>10212</v>
          </cell>
          <cell r="H43">
            <v>32480</v>
          </cell>
          <cell r="I43">
            <v>23221</v>
          </cell>
          <cell r="J43">
            <v>23221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20373</v>
          </cell>
        </row>
        <row r="44">
          <cell r="C44">
            <v>71</v>
          </cell>
          <cell r="D44" t="str">
            <v>M</v>
          </cell>
          <cell r="E44">
            <v>55</v>
          </cell>
          <cell r="F44">
            <v>7.7530000000000001</v>
          </cell>
          <cell r="G44">
            <v>23265</v>
          </cell>
          <cell r="H44">
            <v>50508</v>
          </cell>
          <cell r="I44">
            <v>25751</v>
          </cell>
          <cell r="J44">
            <v>25751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23411</v>
          </cell>
        </row>
        <row r="45">
          <cell r="C45">
            <v>73</v>
          </cell>
          <cell r="D45" t="str">
            <v>F</v>
          </cell>
          <cell r="E45">
            <v>52</v>
          </cell>
          <cell r="F45">
            <v>24.041</v>
          </cell>
          <cell r="G45">
            <v>14128</v>
          </cell>
          <cell r="H45">
            <v>339647</v>
          </cell>
          <cell r="I45">
            <v>202231</v>
          </cell>
          <cell r="J45">
            <v>202231</v>
          </cell>
          <cell r="K45">
            <v>101439</v>
          </cell>
          <cell r="L45">
            <v>101439</v>
          </cell>
          <cell r="M45">
            <v>0</v>
          </cell>
          <cell r="N45">
            <v>101439</v>
          </cell>
          <cell r="O45">
            <v>101439</v>
          </cell>
          <cell r="P45">
            <v>101439</v>
          </cell>
          <cell r="Q45">
            <v>150268</v>
          </cell>
        </row>
        <row r="46">
          <cell r="C46">
            <v>75</v>
          </cell>
          <cell r="D46" t="str">
            <v>F</v>
          </cell>
          <cell r="E46">
            <v>52</v>
          </cell>
          <cell r="F46">
            <v>18.715</v>
          </cell>
          <cell r="G46">
            <v>15452</v>
          </cell>
          <cell r="H46">
            <v>289193</v>
          </cell>
          <cell r="I46">
            <v>206999</v>
          </cell>
          <cell r="J46">
            <v>206999</v>
          </cell>
          <cell r="K46">
            <v>169065</v>
          </cell>
          <cell r="L46">
            <v>169065</v>
          </cell>
          <cell r="M46">
            <v>0</v>
          </cell>
          <cell r="N46">
            <v>169065</v>
          </cell>
          <cell r="O46">
            <v>169065</v>
          </cell>
          <cell r="P46">
            <v>169065</v>
          </cell>
          <cell r="Q46">
            <v>164286</v>
          </cell>
        </row>
        <row r="47">
          <cell r="C47">
            <v>77</v>
          </cell>
          <cell r="D47" t="str">
            <v>F</v>
          </cell>
          <cell r="E47">
            <v>51</v>
          </cell>
          <cell r="F47">
            <v>10.093999999999999</v>
          </cell>
          <cell r="G47">
            <v>14948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79</v>
          </cell>
          <cell r="D48" t="str">
            <v>F</v>
          </cell>
          <cell r="E48">
            <v>54</v>
          </cell>
          <cell r="F48">
            <v>7.7149999999999999</v>
          </cell>
          <cell r="G48">
            <v>12263</v>
          </cell>
          <cell r="H48">
            <v>26492</v>
          </cell>
          <cell r="I48">
            <v>13932</v>
          </cell>
          <cell r="J48">
            <v>13932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12703</v>
          </cell>
        </row>
        <row r="49">
          <cell r="C49">
            <v>81</v>
          </cell>
          <cell r="D49" t="str">
            <v>F</v>
          </cell>
          <cell r="E49">
            <v>50</v>
          </cell>
          <cell r="F49">
            <v>20.454000000000001</v>
          </cell>
          <cell r="G49">
            <v>14602</v>
          </cell>
          <cell r="H49">
            <v>298683</v>
          </cell>
          <cell r="I49">
            <v>233638</v>
          </cell>
          <cell r="J49">
            <v>233638</v>
          </cell>
          <cell r="K49">
            <v>225000</v>
          </cell>
          <cell r="L49">
            <v>225000</v>
          </cell>
          <cell r="M49">
            <v>0</v>
          </cell>
          <cell r="N49">
            <v>225000</v>
          </cell>
          <cell r="O49">
            <v>225000</v>
          </cell>
          <cell r="P49">
            <v>225000</v>
          </cell>
          <cell r="Q49">
            <v>181523</v>
          </cell>
        </row>
        <row r="50">
          <cell r="C50">
            <v>85</v>
          </cell>
          <cell r="D50" t="str">
            <v>F</v>
          </cell>
          <cell r="E50">
            <v>48</v>
          </cell>
          <cell r="F50">
            <v>16.798999999999999</v>
          </cell>
          <cell r="G50">
            <v>9280</v>
          </cell>
          <cell r="H50">
            <v>155891</v>
          </cell>
          <cell r="I50">
            <v>74058</v>
          </cell>
          <cell r="J50">
            <v>74058</v>
          </cell>
          <cell r="K50">
            <v>30000</v>
          </cell>
          <cell r="L50">
            <v>30000</v>
          </cell>
          <cell r="M50">
            <v>0</v>
          </cell>
          <cell r="N50">
            <v>30000</v>
          </cell>
          <cell r="O50">
            <v>30000</v>
          </cell>
          <cell r="P50">
            <v>30000</v>
          </cell>
          <cell r="Q50">
            <v>60163</v>
          </cell>
        </row>
        <row r="51">
          <cell r="C51">
            <v>87</v>
          </cell>
          <cell r="D51" t="str">
            <v>M</v>
          </cell>
          <cell r="E51">
            <v>47</v>
          </cell>
          <cell r="F51">
            <v>14.061</v>
          </cell>
          <cell r="G51">
            <v>21400</v>
          </cell>
          <cell r="H51">
            <v>150459</v>
          </cell>
          <cell r="I51">
            <v>51496</v>
          </cell>
          <cell r="J51">
            <v>51496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43084</v>
          </cell>
        </row>
        <row r="52">
          <cell r="C52">
            <v>91</v>
          </cell>
          <cell r="D52" t="str">
            <v>F</v>
          </cell>
          <cell r="E52">
            <v>40</v>
          </cell>
          <cell r="F52">
            <v>14.379</v>
          </cell>
          <cell r="G52">
            <v>10324</v>
          </cell>
          <cell r="H52">
            <v>148448</v>
          </cell>
          <cell r="I52">
            <v>81981</v>
          </cell>
          <cell r="J52">
            <v>81981</v>
          </cell>
          <cell r="K52">
            <v>59173</v>
          </cell>
          <cell r="L52">
            <v>59173</v>
          </cell>
          <cell r="M52">
            <v>0</v>
          </cell>
          <cell r="N52">
            <v>59173</v>
          </cell>
          <cell r="O52">
            <v>59173</v>
          </cell>
          <cell r="P52">
            <v>59173</v>
          </cell>
          <cell r="Q52">
            <v>68656</v>
          </cell>
        </row>
        <row r="53">
          <cell r="C53">
            <v>93</v>
          </cell>
          <cell r="D53" t="str">
            <v>F</v>
          </cell>
          <cell r="E53">
            <v>49</v>
          </cell>
          <cell r="F53">
            <v>8.9220000000000006</v>
          </cell>
          <cell r="G53">
            <v>8650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95</v>
          </cell>
          <cell r="D54" t="str">
            <v>F</v>
          </cell>
          <cell r="E54">
            <v>42</v>
          </cell>
          <cell r="F54">
            <v>8.1639999999999997</v>
          </cell>
          <cell r="G54">
            <v>12636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97</v>
          </cell>
          <cell r="D55" t="str">
            <v>M</v>
          </cell>
          <cell r="E55">
            <v>42</v>
          </cell>
          <cell r="F55">
            <v>8.4459999999999997</v>
          </cell>
          <cell r="G55">
            <v>13233</v>
          </cell>
          <cell r="H55">
            <v>55883</v>
          </cell>
          <cell r="I55">
            <v>17536</v>
          </cell>
          <cell r="J55">
            <v>17536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15798</v>
          </cell>
        </row>
        <row r="56">
          <cell r="C56">
            <v>99</v>
          </cell>
          <cell r="D56" t="str">
            <v>F</v>
          </cell>
          <cell r="E56">
            <v>62</v>
          </cell>
          <cell r="F56">
            <v>19.292999999999999</v>
          </cell>
          <cell r="G56">
            <v>20524</v>
          </cell>
          <cell r="H56">
            <v>395975</v>
          </cell>
          <cell r="I56">
            <v>376704</v>
          </cell>
          <cell r="J56">
            <v>376704</v>
          </cell>
          <cell r="K56">
            <v>253598</v>
          </cell>
          <cell r="L56">
            <v>253598</v>
          </cell>
          <cell r="M56">
            <v>0</v>
          </cell>
          <cell r="N56">
            <v>253598</v>
          </cell>
          <cell r="O56">
            <v>253598</v>
          </cell>
          <cell r="P56">
            <v>253598</v>
          </cell>
          <cell r="Q56">
            <v>310680</v>
          </cell>
        </row>
        <row r="57">
          <cell r="C57">
            <v>101</v>
          </cell>
          <cell r="D57" t="str">
            <v>F</v>
          </cell>
          <cell r="E57">
            <v>43</v>
          </cell>
          <cell r="F57">
            <v>17.738</v>
          </cell>
          <cell r="G57">
            <v>22799</v>
          </cell>
          <cell r="H57">
            <v>404413</v>
          </cell>
          <cell r="I57">
            <v>259418</v>
          </cell>
          <cell r="J57">
            <v>259418</v>
          </cell>
          <cell r="K57">
            <v>200000</v>
          </cell>
          <cell r="L57">
            <v>200000</v>
          </cell>
          <cell r="M57">
            <v>0</v>
          </cell>
          <cell r="N57">
            <v>200000</v>
          </cell>
          <cell r="O57">
            <v>200000</v>
          </cell>
          <cell r="P57">
            <v>200000</v>
          </cell>
          <cell r="Q57">
            <v>208409</v>
          </cell>
        </row>
        <row r="58">
          <cell r="C58">
            <v>103</v>
          </cell>
          <cell r="D58" t="str">
            <v>M</v>
          </cell>
          <cell r="E58">
            <v>37</v>
          </cell>
          <cell r="F58">
            <v>7.7939999999999996</v>
          </cell>
          <cell r="G58">
            <v>19862</v>
          </cell>
          <cell r="H58">
            <v>77407</v>
          </cell>
          <cell r="I58">
            <v>21360</v>
          </cell>
          <cell r="J58">
            <v>21360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19457</v>
          </cell>
        </row>
        <row r="59">
          <cell r="C59">
            <v>105</v>
          </cell>
          <cell r="D59" t="str">
            <v>M</v>
          </cell>
          <cell r="E59">
            <v>36</v>
          </cell>
          <cell r="F59">
            <v>8.2379999999999995</v>
          </cell>
          <cell r="G59">
            <v>12519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C60">
            <v>107</v>
          </cell>
          <cell r="D60" t="str">
            <v>M</v>
          </cell>
          <cell r="E60">
            <v>31</v>
          </cell>
          <cell r="F60">
            <v>8.4649999999999999</v>
          </cell>
          <cell r="G60">
            <v>18603</v>
          </cell>
          <cell r="H60">
            <v>78741</v>
          </cell>
          <cell r="I60">
            <v>21018</v>
          </cell>
          <cell r="J60">
            <v>21018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18996</v>
          </cell>
        </row>
        <row r="61">
          <cell r="C61">
            <v>109</v>
          </cell>
          <cell r="D61" t="str">
            <v>M</v>
          </cell>
          <cell r="E61">
            <v>47</v>
          </cell>
          <cell r="F61">
            <v>7.7750000000000004</v>
          </cell>
          <cell r="G61">
            <v>18463</v>
          </cell>
          <cell r="H61">
            <v>71780</v>
          </cell>
          <cell r="I61">
            <v>24628</v>
          </cell>
          <cell r="J61">
            <v>24628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22305</v>
          </cell>
        </row>
        <row r="62">
          <cell r="C62">
            <v>111</v>
          </cell>
          <cell r="D62" t="str">
            <v>F</v>
          </cell>
          <cell r="E62">
            <v>60</v>
          </cell>
          <cell r="F62">
            <v>21.504999999999999</v>
          </cell>
          <cell r="G62">
            <v>20841</v>
          </cell>
          <cell r="H62">
            <v>448195</v>
          </cell>
          <cell r="I62">
            <v>409067</v>
          </cell>
          <cell r="J62">
            <v>409067</v>
          </cell>
          <cell r="K62">
            <v>338130</v>
          </cell>
          <cell r="L62">
            <v>338130</v>
          </cell>
          <cell r="M62">
            <v>0</v>
          </cell>
          <cell r="N62">
            <v>338130</v>
          </cell>
          <cell r="O62">
            <v>338130</v>
          </cell>
          <cell r="P62">
            <v>338130</v>
          </cell>
          <cell r="Q62">
            <v>325721</v>
          </cell>
        </row>
        <row r="63">
          <cell r="C63">
            <v>113</v>
          </cell>
          <cell r="D63" t="str">
            <v>M</v>
          </cell>
          <cell r="E63">
            <v>36</v>
          </cell>
          <cell r="F63">
            <v>8.3010000000000002</v>
          </cell>
          <cell r="G63">
            <v>18230</v>
          </cell>
          <cell r="H63">
            <v>75665</v>
          </cell>
          <cell r="I63">
            <v>21089</v>
          </cell>
          <cell r="J63">
            <v>21089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19097</v>
          </cell>
        </row>
        <row r="64">
          <cell r="C64">
            <v>115</v>
          </cell>
          <cell r="D64" t="str">
            <v>F</v>
          </cell>
          <cell r="E64">
            <v>54</v>
          </cell>
          <cell r="F64">
            <v>20.974</v>
          </cell>
          <cell r="G64">
            <v>13475</v>
          </cell>
          <cell r="H64">
            <v>282636</v>
          </cell>
          <cell r="I64">
            <v>189060</v>
          </cell>
          <cell r="J64">
            <v>189060</v>
          </cell>
          <cell r="K64">
            <v>109892</v>
          </cell>
          <cell r="L64">
            <v>109892</v>
          </cell>
          <cell r="M64">
            <v>0</v>
          </cell>
          <cell r="N64">
            <v>109892</v>
          </cell>
          <cell r="O64">
            <v>109892</v>
          </cell>
          <cell r="P64">
            <v>109892</v>
          </cell>
          <cell r="Q64">
            <v>147164</v>
          </cell>
        </row>
        <row r="65">
          <cell r="C65">
            <v>117</v>
          </cell>
          <cell r="D65" t="str">
            <v>F</v>
          </cell>
          <cell r="E65">
            <v>61</v>
          </cell>
          <cell r="F65">
            <v>20.238</v>
          </cell>
          <cell r="G65">
            <v>17950</v>
          </cell>
          <cell r="H65">
            <v>363283</v>
          </cell>
          <cell r="I65">
            <v>343595</v>
          </cell>
          <cell r="J65">
            <v>343595</v>
          </cell>
          <cell r="K65">
            <v>139822</v>
          </cell>
          <cell r="L65">
            <v>139822</v>
          </cell>
          <cell r="M65">
            <v>0</v>
          </cell>
          <cell r="N65">
            <v>139822</v>
          </cell>
          <cell r="O65">
            <v>139822</v>
          </cell>
          <cell r="P65">
            <v>139822</v>
          </cell>
          <cell r="Q65">
            <v>280829</v>
          </cell>
        </row>
        <row r="66">
          <cell r="C66">
            <v>119</v>
          </cell>
          <cell r="D66" t="str">
            <v>M</v>
          </cell>
          <cell r="E66">
            <v>62</v>
          </cell>
          <cell r="F66">
            <v>19.388999999999999</v>
          </cell>
          <cell r="G66">
            <v>16272</v>
          </cell>
          <cell r="H66">
            <v>315508</v>
          </cell>
          <cell r="I66">
            <v>276881</v>
          </cell>
          <cell r="J66">
            <v>276881</v>
          </cell>
          <cell r="K66">
            <v>46991</v>
          </cell>
          <cell r="L66">
            <v>46991</v>
          </cell>
          <cell r="M66">
            <v>0</v>
          </cell>
          <cell r="N66">
            <v>46991</v>
          </cell>
          <cell r="O66">
            <v>46991</v>
          </cell>
          <cell r="P66">
            <v>46991</v>
          </cell>
          <cell r="Q66">
            <v>223337</v>
          </cell>
        </row>
        <row r="67">
          <cell r="C67">
            <v>121</v>
          </cell>
          <cell r="D67" t="str">
            <v>M</v>
          </cell>
          <cell r="E67">
            <v>55</v>
          </cell>
          <cell r="F67">
            <v>34.101999999999997</v>
          </cell>
          <cell r="G67">
            <v>21400</v>
          </cell>
          <cell r="H67">
            <v>364899</v>
          </cell>
          <cell r="I67">
            <v>186717</v>
          </cell>
          <cell r="J67">
            <v>186717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122602</v>
          </cell>
        </row>
        <row r="68">
          <cell r="C68">
            <v>123</v>
          </cell>
          <cell r="D68" t="str">
            <v>M</v>
          </cell>
          <cell r="E68">
            <v>32</v>
          </cell>
          <cell r="F68">
            <v>8.4130000000000003</v>
          </cell>
          <cell r="G68">
            <v>7788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C69">
            <v>125</v>
          </cell>
          <cell r="D69" t="str">
            <v>F</v>
          </cell>
          <cell r="E69">
            <v>46</v>
          </cell>
          <cell r="F69">
            <v>11.670999999999999</v>
          </cell>
          <cell r="G69">
            <v>5923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>
            <v>129</v>
          </cell>
          <cell r="D70" t="str">
            <v>M</v>
          </cell>
          <cell r="E70">
            <v>59</v>
          </cell>
          <cell r="F70">
            <v>10.288</v>
          </cell>
          <cell r="G70">
            <v>7415</v>
          </cell>
          <cell r="H70">
            <v>76290</v>
          </cell>
          <cell r="I70">
            <v>54760</v>
          </cell>
          <cell r="J70">
            <v>54760</v>
          </cell>
          <cell r="K70">
            <v>16454</v>
          </cell>
          <cell r="L70">
            <v>16454</v>
          </cell>
          <cell r="M70">
            <v>0</v>
          </cell>
          <cell r="N70">
            <v>16454</v>
          </cell>
          <cell r="O70">
            <v>16454</v>
          </cell>
          <cell r="P70">
            <v>16454</v>
          </cell>
          <cell r="Q70">
            <v>48432</v>
          </cell>
        </row>
        <row r="71">
          <cell r="C71">
            <v>131</v>
          </cell>
          <cell r="D71" t="str">
            <v>F</v>
          </cell>
          <cell r="E71">
            <v>44</v>
          </cell>
          <cell r="F71">
            <v>10.672000000000001</v>
          </cell>
          <cell r="G71">
            <v>13941</v>
          </cell>
          <cell r="H71">
            <v>74392</v>
          </cell>
          <cell r="I71">
            <v>23715</v>
          </cell>
          <cell r="J71">
            <v>23715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20787</v>
          </cell>
        </row>
        <row r="72">
          <cell r="C72">
            <v>133</v>
          </cell>
          <cell r="D72" t="str">
            <v>M</v>
          </cell>
          <cell r="E72">
            <v>51</v>
          </cell>
          <cell r="F72">
            <v>10.19</v>
          </cell>
          <cell r="G72">
            <v>14874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135</v>
          </cell>
          <cell r="D73" t="str">
            <v>F</v>
          </cell>
          <cell r="E73">
            <v>36</v>
          </cell>
          <cell r="F73">
            <v>10.672000000000001</v>
          </cell>
          <cell r="G73">
            <v>11144</v>
          </cell>
          <cell r="H73">
            <v>118933</v>
          </cell>
          <cell r="I73">
            <v>53675</v>
          </cell>
          <cell r="J73">
            <v>53675</v>
          </cell>
          <cell r="K73">
            <v>30461</v>
          </cell>
          <cell r="L73">
            <v>30461</v>
          </cell>
          <cell r="M73">
            <v>0</v>
          </cell>
          <cell r="N73">
            <v>30461</v>
          </cell>
          <cell r="O73">
            <v>30461</v>
          </cell>
          <cell r="P73">
            <v>30461</v>
          </cell>
          <cell r="Q73">
            <v>47240</v>
          </cell>
        </row>
        <row r="74">
          <cell r="C74">
            <v>137</v>
          </cell>
          <cell r="D74" t="str">
            <v>M</v>
          </cell>
          <cell r="E74">
            <v>58</v>
          </cell>
          <cell r="F74">
            <v>10.672000000000001</v>
          </cell>
          <cell r="G74">
            <v>10655</v>
          </cell>
          <cell r="H74">
            <v>113709</v>
          </cell>
          <cell r="I74">
            <v>90419</v>
          </cell>
          <cell r="J74">
            <v>90419</v>
          </cell>
          <cell r="K74">
            <v>40820</v>
          </cell>
          <cell r="L74">
            <v>40820</v>
          </cell>
          <cell r="M74">
            <v>0</v>
          </cell>
          <cell r="N74">
            <v>40820</v>
          </cell>
          <cell r="O74">
            <v>40820</v>
          </cell>
          <cell r="P74">
            <v>40820</v>
          </cell>
          <cell r="Q74">
            <v>79579</v>
          </cell>
        </row>
        <row r="75">
          <cell r="C75">
            <v>139</v>
          </cell>
          <cell r="D75" t="str">
            <v>M</v>
          </cell>
          <cell r="E75">
            <v>48</v>
          </cell>
          <cell r="F75">
            <v>10.672000000000001</v>
          </cell>
          <cell r="G75">
            <v>11144</v>
          </cell>
          <cell r="H75">
            <v>59467</v>
          </cell>
          <cell r="I75">
            <v>23500</v>
          </cell>
          <cell r="J75">
            <v>23500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20521</v>
          </cell>
        </row>
        <row r="76">
          <cell r="C76">
            <v>143</v>
          </cell>
          <cell r="D76" t="str">
            <v>F</v>
          </cell>
          <cell r="E76">
            <v>43</v>
          </cell>
          <cell r="F76">
            <v>8.3010000000000002</v>
          </cell>
          <cell r="G76">
            <v>7042</v>
          </cell>
          <cell r="H76">
            <v>58456</v>
          </cell>
          <cell r="I76">
            <v>21773</v>
          </cell>
          <cell r="J76">
            <v>21773</v>
          </cell>
          <cell r="K76">
            <v>3680</v>
          </cell>
          <cell r="L76">
            <v>3680</v>
          </cell>
          <cell r="M76">
            <v>0</v>
          </cell>
          <cell r="N76">
            <v>3680</v>
          </cell>
          <cell r="O76">
            <v>3680</v>
          </cell>
          <cell r="P76">
            <v>3680</v>
          </cell>
          <cell r="Q76">
            <v>19654</v>
          </cell>
        </row>
        <row r="77">
          <cell r="C77">
            <v>147</v>
          </cell>
          <cell r="D77" t="str">
            <v>M</v>
          </cell>
          <cell r="E77">
            <v>40</v>
          </cell>
          <cell r="F77">
            <v>8.2509999999999994</v>
          </cell>
          <cell r="G77">
            <v>11610</v>
          </cell>
          <cell r="H77">
            <v>95808</v>
          </cell>
          <cell r="I77">
            <v>35698</v>
          </cell>
          <cell r="J77">
            <v>35698</v>
          </cell>
          <cell r="K77">
            <v>10547</v>
          </cell>
          <cell r="L77">
            <v>10547</v>
          </cell>
          <cell r="M77">
            <v>0</v>
          </cell>
          <cell r="N77">
            <v>10547</v>
          </cell>
          <cell r="O77">
            <v>10547</v>
          </cell>
          <cell r="P77">
            <v>10547</v>
          </cell>
          <cell r="Q77">
            <v>32257</v>
          </cell>
        </row>
        <row r="78">
          <cell r="C78">
            <v>149</v>
          </cell>
          <cell r="D78" t="str">
            <v>F</v>
          </cell>
          <cell r="E78">
            <v>39</v>
          </cell>
          <cell r="F78">
            <v>8.1340000000000003</v>
          </cell>
          <cell r="G78">
            <v>6855</v>
          </cell>
          <cell r="H78">
            <v>55763</v>
          </cell>
          <cell r="I78">
            <v>20245</v>
          </cell>
          <cell r="J78">
            <v>20245</v>
          </cell>
          <cell r="K78">
            <v>5423</v>
          </cell>
          <cell r="L78">
            <v>5423</v>
          </cell>
          <cell r="M78">
            <v>0</v>
          </cell>
          <cell r="N78">
            <v>5423</v>
          </cell>
          <cell r="O78">
            <v>5423</v>
          </cell>
          <cell r="P78">
            <v>5423</v>
          </cell>
          <cell r="Q78">
            <v>18312</v>
          </cell>
        </row>
        <row r="79">
          <cell r="C79" t="str">
            <v>All</v>
          </cell>
          <cell r="G79">
            <v>794420</v>
          </cell>
          <cell r="H79">
            <v>7407911</v>
          </cell>
          <cell r="I79">
            <v>4929461</v>
          </cell>
          <cell r="J79">
            <v>4929461</v>
          </cell>
          <cell r="K79">
            <v>2679740</v>
          </cell>
          <cell r="L79">
            <v>2679740</v>
          </cell>
          <cell r="M79">
            <v>0</v>
          </cell>
          <cell r="N79">
            <v>2679740</v>
          </cell>
          <cell r="O79">
            <v>2679740</v>
          </cell>
          <cell r="P79">
            <v>2679740</v>
          </cell>
          <cell r="Q79">
            <v>3916056</v>
          </cell>
        </row>
        <row r="82">
          <cell r="C82" t="str">
            <v>Valuation Date 31DEC2024, Scenario=0,Prob Scenario=0,RFScenario=1,Inflation=0, Reporting Group B</v>
          </cell>
        </row>
        <row r="83">
          <cell r="G83" t="str">
            <v>Last Monthly Salary For Severance</v>
          </cell>
          <cell r="H83" t="str">
            <v>Pitzuim</v>
          </cell>
          <cell r="I83" t="str">
            <v>Salary Value</v>
          </cell>
          <cell r="J83" t="str">
            <v>Salary Value Final</v>
          </cell>
          <cell r="K83" t="str">
            <v>Severance Pay Fund</v>
          </cell>
          <cell r="L83" t="str">
            <v>Severance Pay Fund Value1</v>
          </cell>
          <cell r="M83" t="str">
            <v>Severance Pay Fund0</v>
          </cell>
          <cell r="N83" t="str">
            <v>Severance Pay Fund Value</v>
          </cell>
          <cell r="O83" t="str">
            <v>Severance Pay Fund Value Final</v>
          </cell>
          <cell r="P83" t="str">
            <v>Severance Pay Fund Value Final 2</v>
          </cell>
          <cell r="Q83" t="str">
            <v>Current Service Cost final</v>
          </cell>
        </row>
        <row r="84">
          <cell r="C84" t="str">
            <v>Unique Identity Number</v>
          </cell>
          <cell r="D84" t="str">
            <v>Gender</v>
          </cell>
          <cell r="E84" t="str">
            <v>Age</v>
          </cell>
          <cell r="F84" t="str">
            <v>Seniority in Yrs</v>
          </cell>
          <cell r="G84">
            <v>21400</v>
          </cell>
          <cell r="H84">
            <v>65769</v>
          </cell>
          <cell r="I84">
            <v>20321</v>
          </cell>
          <cell r="J84">
            <v>20321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1829</v>
          </cell>
        </row>
        <row r="85">
          <cell r="C85">
            <v>2</v>
          </cell>
          <cell r="D85" t="str">
            <v>F</v>
          </cell>
          <cell r="E85">
            <v>40</v>
          </cell>
          <cell r="F85">
            <v>10.976000000000001</v>
          </cell>
        </row>
        <row r="86">
          <cell r="C86">
            <v>4</v>
          </cell>
          <cell r="D86" t="str">
            <v>F</v>
          </cell>
          <cell r="E86">
            <v>58</v>
          </cell>
          <cell r="F86">
            <v>22.984000000000002</v>
          </cell>
          <cell r="G86">
            <v>11144</v>
          </cell>
          <cell r="H86">
            <v>256142</v>
          </cell>
          <cell r="I86">
            <v>206645</v>
          </cell>
          <cell r="J86">
            <v>206645</v>
          </cell>
          <cell r="K86">
            <v>118346</v>
          </cell>
          <cell r="L86">
            <v>118346</v>
          </cell>
          <cell r="M86">
            <v>0</v>
          </cell>
          <cell r="N86">
            <v>118346</v>
          </cell>
          <cell r="O86">
            <v>118346</v>
          </cell>
          <cell r="P86">
            <v>118346</v>
          </cell>
          <cell r="Q86">
            <v>8893</v>
          </cell>
        </row>
        <row r="87">
          <cell r="C87">
            <v>10</v>
          </cell>
          <cell r="D87" t="str">
            <v>M</v>
          </cell>
          <cell r="E87">
            <v>52</v>
          </cell>
          <cell r="F87">
            <v>8.3640000000000008</v>
          </cell>
          <cell r="G87">
            <v>9746</v>
          </cell>
          <cell r="H87">
            <v>22824</v>
          </cell>
          <cell r="I87">
            <v>13258</v>
          </cell>
          <cell r="J87">
            <v>13258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1565</v>
          </cell>
        </row>
        <row r="88">
          <cell r="C88">
            <v>12</v>
          </cell>
          <cell r="D88" t="str">
            <v>M</v>
          </cell>
          <cell r="E88">
            <v>52</v>
          </cell>
          <cell r="F88">
            <v>8.4510000000000005</v>
          </cell>
          <cell r="G88">
            <v>7881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C89">
            <v>16</v>
          </cell>
          <cell r="D89" t="str">
            <v>F</v>
          </cell>
          <cell r="E89">
            <v>54</v>
          </cell>
          <cell r="F89">
            <v>24.01</v>
          </cell>
          <cell r="G89">
            <v>10212</v>
          </cell>
          <cell r="H89">
            <v>245197</v>
          </cell>
          <cell r="I89">
            <v>177822</v>
          </cell>
          <cell r="J89">
            <v>177822</v>
          </cell>
          <cell r="K89">
            <v>126799</v>
          </cell>
          <cell r="L89">
            <v>126799</v>
          </cell>
          <cell r="M89">
            <v>0</v>
          </cell>
          <cell r="N89">
            <v>126799</v>
          </cell>
          <cell r="O89">
            <v>126799</v>
          </cell>
          <cell r="P89">
            <v>126799</v>
          </cell>
          <cell r="Q89">
            <v>7319</v>
          </cell>
        </row>
        <row r="90">
          <cell r="C90">
            <v>18</v>
          </cell>
          <cell r="D90" t="str">
            <v>F</v>
          </cell>
          <cell r="E90">
            <v>54</v>
          </cell>
          <cell r="F90">
            <v>14.346</v>
          </cell>
          <cell r="G90">
            <v>22332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C91">
            <v>22</v>
          </cell>
          <cell r="D91" t="str">
            <v>F</v>
          </cell>
          <cell r="E91">
            <v>53</v>
          </cell>
          <cell r="F91">
            <v>14.061</v>
          </cell>
          <cell r="G91">
            <v>46946</v>
          </cell>
          <cell r="H91">
            <v>660139</v>
          </cell>
          <cell r="I91">
            <v>486476</v>
          </cell>
          <cell r="J91">
            <v>486476</v>
          </cell>
          <cell r="K91">
            <v>150000</v>
          </cell>
          <cell r="L91">
            <v>150000</v>
          </cell>
          <cell r="M91">
            <v>0</v>
          </cell>
          <cell r="N91">
            <v>150000</v>
          </cell>
          <cell r="O91">
            <v>150000</v>
          </cell>
          <cell r="P91">
            <v>150000</v>
          </cell>
          <cell r="Q91">
            <v>34178</v>
          </cell>
        </row>
        <row r="92">
          <cell r="C92">
            <v>24</v>
          </cell>
          <cell r="D92" t="str">
            <v>M</v>
          </cell>
          <cell r="E92">
            <v>45</v>
          </cell>
          <cell r="F92">
            <v>8.1669999999999998</v>
          </cell>
          <cell r="G92">
            <v>24570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C93">
            <v>26</v>
          </cell>
          <cell r="D93" t="str">
            <v>F</v>
          </cell>
          <cell r="E93">
            <v>50</v>
          </cell>
          <cell r="F93">
            <v>8.0410000000000004</v>
          </cell>
          <cell r="G93">
            <v>21653</v>
          </cell>
          <cell r="H93">
            <v>174110</v>
          </cell>
          <cell r="I93">
            <v>109159</v>
          </cell>
          <cell r="J93">
            <v>109159</v>
          </cell>
          <cell r="K93">
            <v>70000</v>
          </cell>
          <cell r="L93">
            <v>70000</v>
          </cell>
          <cell r="M93">
            <v>0</v>
          </cell>
          <cell r="N93">
            <v>70000</v>
          </cell>
          <cell r="O93">
            <v>70000</v>
          </cell>
          <cell r="P93">
            <v>70000</v>
          </cell>
          <cell r="Q93">
            <v>13411</v>
          </cell>
        </row>
        <row r="94">
          <cell r="C94">
            <v>28</v>
          </cell>
          <cell r="D94" t="str">
            <v>F</v>
          </cell>
          <cell r="E94">
            <v>49</v>
          </cell>
          <cell r="F94">
            <v>8.9220000000000006</v>
          </cell>
          <cell r="G94">
            <v>23265</v>
          </cell>
          <cell r="H94">
            <v>207583</v>
          </cell>
          <cell r="I94">
            <v>216672</v>
          </cell>
          <cell r="J94">
            <v>216672</v>
          </cell>
          <cell r="K94">
            <v>211331</v>
          </cell>
          <cell r="L94">
            <v>211331</v>
          </cell>
          <cell r="M94">
            <v>0</v>
          </cell>
          <cell r="N94">
            <v>211331</v>
          </cell>
          <cell r="O94">
            <v>211331</v>
          </cell>
          <cell r="P94">
            <v>211331</v>
          </cell>
          <cell r="Q94">
            <v>23990</v>
          </cell>
        </row>
        <row r="95">
          <cell r="C95">
            <v>30</v>
          </cell>
          <cell r="D95" t="str">
            <v>M</v>
          </cell>
          <cell r="E95">
            <v>44</v>
          </cell>
          <cell r="F95">
            <v>10.19</v>
          </cell>
          <cell r="G95">
            <v>10212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32</v>
          </cell>
          <cell r="D96" t="str">
            <v>M</v>
          </cell>
          <cell r="E96">
            <v>40</v>
          </cell>
          <cell r="F96">
            <v>17.376999999999999</v>
          </cell>
          <cell r="G96">
            <v>17671</v>
          </cell>
          <cell r="H96">
            <v>307065</v>
          </cell>
          <cell r="I96">
            <v>203937</v>
          </cell>
          <cell r="J96">
            <v>203937</v>
          </cell>
          <cell r="K96">
            <v>152159</v>
          </cell>
          <cell r="L96">
            <v>152159</v>
          </cell>
          <cell r="M96">
            <v>0</v>
          </cell>
          <cell r="N96">
            <v>152159</v>
          </cell>
          <cell r="O96">
            <v>152159</v>
          </cell>
          <cell r="P96">
            <v>152159</v>
          </cell>
          <cell r="Q96">
            <v>11594</v>
          </cell>
        </row>
        <row r="97">
          <cell r="C97">
            <v>34</v>
          </cell>
          <cell r="D97" t="str">
            <v>M</v>
          </cell>
          <cell r="E97">
            <v>46</v>
          </cell>
          <cell r="F97">
            <v>23.085000000000001</v>
          </cell>
          <cell r="G97">
            <v>26062</v>
          </cell>
          <cell r="H97">
            <v>601650</v>
          </cell>
          <cell r="I97">
            <v>372600</v>
          </cell>
          <cell r="J97">
            <v>372600</v>
          </cell>
          <cell r="K97">
            <v>202878</v>
          </cell>
          <cell r="L97">
            <v>202878</v>
          </cell>
          <cell r="M97">
            <v>0</v>
          </cell>
          <cell r="N97">
            <v>202878</v>
          </cell>
          <cell r="O97">
            <v>202878</v>
          </cell>
          <cell r="P97">
            <v>202878</v>
          </cell>
          <cell r="Q97">
            <v>15939</v>
          </cell>
        </row>
        <row r="98">
          <cell r="C98">
            <v>36</v>
          </cell>
          <cell r="D98" t="str">
            <v>M</v>
          </cell>
          <cell r="E98">
            <v>49</v>
          </cell>
          <cell r="F98">
            <v>15.586</v>
          </cell>
          <cell r="G98">
            <v>8347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C99">
            <v>38</v>
          </cell>
          <cell r="D99" t="str">
            <v>M</v>
          </cell>
          <cell r="E99">
            <v>49</v>
          </cell>
          <cell r="F99">
            <v>13.831</v>
          </cell>
          <cell r="G99">
            <v>14874</v>
          </cell>
          <cell r="H99">
            <v>57603</v>
          </cell>
          <cell r="I99">
            <v>22585</v>
          </cell>
          <cell r="J99">
            <v>22585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1613</v>
          </cell>
        </row>
        <row r="100">
          <cell r="C100">
            <v>42</v>
          </cell>
          <cell r="D100" t="str">
            <v>F</v>
          </cell>
          <cell r="E100">
            <v>28</v>
          </cell>
          <cell r="F100">
            <v>8.3279999999999994</v>
          </cell>
          <cell r="G100">
            <v>8813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>
            <v>44</v>
          </cell>
          <cell r="D101" t="str">
            <v>M</v>
          </cell>
          <cell r="E101">
            <v>49</v>
          </cell>
          <cell r="F101">
            <v>14.346</v>
          </cell>
          <cell r="G101">
            <v>13428</v>
          </cell>
          <cell r="H101">
            <v>53942</v>
          </cell>
          <cell r="I101">
            <v>21190</v>
          </cell>
          <cell r="J101">
            <v>21190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1459</v>
          </cell>
        </row>
        <row r="102">
          <cell r="C102">
            <v>46</v>
          </cell>
          <cell r="D102" t="str">
            <v>F</v>
          </cell>
          <cell r="E102">
            <v>56</v>
          </cell>
          <cell r="F102">
            <v>28.084</v>
          </cell>
          <cell r="G102">
            <v>14874</v>
          </cell>
          <cell r="H102">
            <v>417724</v>
          </cell>
          <cell r="I102">
            <v>345506</v>
          </cell>
          <cell r="J102">
            <v>345506</v>
          </cell>
          <cell r="K102">
            <v>295864</v>
          </cell>
          <cell r="L102">
            <v>295864</v>
          </cell>
          <cell r="M102">
            <v>0</v>
          </cell>
          <cell r="N102">
            <v>295864</v>
          </cell>
          <cell r="O102">
            <v>295864</v>
          </cell>
          <cell r="P102">
            <v>295864</v>
          </cell>
          <cell r="Q102">
            <v>12163</v>
          </cell>
        </row>
        <row r="103">
          <cell r="C103">
            <v>48</v>
          </cell>
          <cell r="D103" t="str">
            <v>F</v>
          </cell>
          <cell r="E103">
            <v>51</v>
          </cell>
          <cell r="F103">
            <v>26.253</v>
          </cell>
          <cell r="G103">
            <v>15060</v>
          </cell>
          <cell r="H103">
            <v>395376</v>
          </cell>
          <cell r="I103">
            <v>322929</v>
          </cell>
          <cell r="J103">
            <v>322929</v>
          </cell>
          <cell r="K103">
            <v>200000</v>
          </cell>
          <cell r="L103">
            <v>200000</v>
          </cell>
          <cell r="M103">
            <v>0</v>
          </cell>
          <cell r="N103">
            <v>200000</v>
          </cell>
          <cell r="O103">
            <v>200000</v>
          </cell>
          <cell r="P103">
            <v>200000</v>
          </cell>
          <cell r="Q103">
            <v>12152</v>
          </cell>
        </row>
        <row r="104">
          <cell r="C104">
            <v>50</v>
          </cell>
          <cell r="D104" t="str">
            <v>M</v>
          </cell>
          <cell r="E104">
            <v>56</v>
          </cell>
          <cell r="F104">
            <v>8.1750000000000007</v>
          </cell>
          <cell r="G104">
            <v>23265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C105">
            <v>72</v>
          </cell>
          <cell r="D105" t="str">
            <v>F</v>
          </cell>
          <cell r="E105">
            <v>53</v>
          </cell>
          <cell r="F105">
            <v>20.751999999999999</v>
          </cell>
          <cell r="G105">
            <v>32029</v>
          </cell>
          <cell r="H105">
            <v>664690</v>
          </cell>
          <cell r="I105">
            <v>602128</v>
          </cell>
          <cell r="J105">
            <v>602128</v>
          </cell>
          <cell r="K105">
            <v>422663</v>
          </cell>
          <cell r="L105">
            <v>422663</v>
          </cell>
          <cell r="M105">
            <v>0</v>
          </cell>
          <cell r="N105">
            <v>422663</v>
          </cell>
          <cell r="O105">
            <v>422663</v>
          </cell>
          <cell r="P105">
            <v>422663</v>
          </cell>
          <cell r="Q105">
            <v>28663</v>
          </cell>
        </row>
        <row r="106">
          <cell r="C106">
            <v>74</v>
          </cell>
          <cell r="D106" t="str">
            <v>F</v>
          </cell>
          <cell r="E106">
            <v>52</v>
          </cell>
          <cell r="F106">
            <v>19.818999999999999</v>
          </cell>
          <cell r="G106">
            <v>16470</v>
          </cell>
          <cell r="H106">
            <v>326420</v>
          </cell>
          <cell r="I106">
            <v>247800</v>
          </cell>
          <cell r="J106">
            <v>247800</v>
          </cell>
          <cell r="K106">
            <v>211331</v>
          </cell>
          <cell r="L106">
            <v>211331</v>
          </cell>
          <cell r="M106">
            <v>0</v>
          </cell>
          <cell r="N106">
            <v>211331</v>
          </cell>
          <cell r="O106">
            <v>211331</v>
          </cell>
          <cell r="P106">
            <v>211331</v>
          </cell>
          <cell r="Q106">
            <v>12352</v>
          </cell>
        </row>
        <row r="107">
          <cell r="C107">
            <v>76</v>
          </cell>
          <cell r="D107" t="str">
            <v>M</v>
          </cell>
          <cell r="E107">
            <v>51</v>
          </cell>
          <cell r="F107">
            <v>17.981999999999999</v>
          </cell>
          <cell r="G107">
            <v>18305</v>
          </cell>
          <cell r="H107">
            <v>329158</v>
          </cell>
          <cell r="I107">
            <v>229651</v>
          </cell>
          <cell r="J107">
            <v>229651</v>
          </cell>
          <cell r="K107">
            <v>185972</v>
          </cell>
          <cell r="L107">
            <v>185972</v>
          </cell>
          <cell r="M107">
            <v>0</v>
          </cell>
          <cell r="N107">
            <v>185972</v>
          </cell>
          <cell r="O107">
            <v>185972</v>
          </cell>
          <cell r="P107">
            <v>185972</v>
          </cell>
          <cell r="Q107">
            <v>12612</v>
          </cell>
        </row>
        <row r="108">
          <cell r="C108">
            <v>80</v>
          </cell>
          <cell r="D108" t="str">
            <v>F</v>
          </cell>
          <cell r="E108">
            <v>54</v>
          </cell>
          <cell r="F108">
            <v>8.093</v>
          </cell>
          <cell r="G108">
            <v>21214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>
            <v>82</v>
          </cell>
          <cell r="D109" t="str">
            <v>F</v>
          </cell>
          <cell r="E109">
            <v>51</v>
          </cell>
          <cell r="F109">
            <v>9.3740000000000006</v>
          </cell>
          <cell r="G109">
            <v>20468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84</v>
          </cell>
          <cell r="D110" t="str">
            <v>M</v>
          </cell>
          <cell r="E110">
            <v>49</v>
          </cell>
          <cell r="F110">
            <v>9.1769999999999996</v>
          </cell>
          <cell r="G110">
            <v>19722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C111">
            <v>86</v>
          </cell>
          <cell r="D111" t="str">
            <v>F</v>
          </cell>
          <cell r="E111">
            <v>47</v>
          </cell>
          <cell r="F111">
            <v>14.978</v>
          </cell>
          <cell r="G111">
            <v>15933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C112">
            <v>88</v>
          </cell>
          <cell r="D112" t="str">
            <v>F</v>
          </cell>
          <cell r="E112">
            <v>46</v>
          </cell>
          <cell r="F112">
            <v>9.4670000000000005</v>
          </cell>
          <cell r="G112">
            <v>18603</v>
          </cell>
          <cell r="H112">
            <v>88062</v>
          </cell>
          <cell r="I112">
            <v>31365</v>
          </cell>
          <cell r="J112">
            <v>31365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3273</v>
          </cell>
        </row>
        <row r="113">
          <cell r="C113">
            <v>90</v>
          </cell>
          <cell r="D113" t="str">
            <v>F</v>
          </cell>
          <cell r="E113">
            <v>41</v>
          </cell>
          <cell r="F113">
            <v>12.875999999999999</v>
          </cell>
          <cell r="G113">
            <v>18976</v>
          </cell>
          <cell r="H113">
            <v>244336</v>
          </cell>
          <cell r="I113">
            <v>132611</v>
          </cell>
          <cell r="J113">
            <v>132611</v>
          </cell>
          <cell r="K113">
            <v>70000</v>
          </cell>
          <cell r="L113">
            <v>70000</v>
          </cell>
          <cell r="M113">
            <v>0</v>
          </cell>
          <cell r="N113">
            <v>70000</v>
          </cell>
          <cell r="O113">
            <v>70000</v>
          </cell>
          <cell r="P113">
            <v>70000</v>
          </cell>
          <cell r="Q113">
            <v>10175</v>
          </cell>
        </row>
        <row r="114">
          <cell r="C114">
            <v>92</v>
          </cell>
          <cell r="D114" t="str">
            <v>M</v>
          </cell>
          <cell r="E114">
            <v>50</v>
          </cell>
          <cell r="F114">
            <v>8.4489999999999998</v>
          </cell>
          <cell r="G114">
            <v>9904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94</v>
          </cell>
          <cell r="D115" t="str">
            <v>F</v>
          </cell>
          <cell r="E115">
            <v>49</v>
          </cell>
          <cell r="F115">
            <v>18.420000000000002</v>
          </cell>
          <cell r="G115">
            <v>11144</v>
          </cell>
          <cell r="H115">
            <v>205280</v>
          </cell>
          <cell r="I115">
            <v>193621</v>
          </cell>
          <cell r="J115">
            <v>193621</v>
          </cell>
          <cell r="K115">
            <v>169065</v>
          </cell>
          <cell r="L115">
            <v>169065</v>
          </cell>
          <cell r="M115">
            <v>0</v>
          </cell>
          <cell r="N115">
            <v>169065</v>
          </cell>
          <cell r="O115">
            <v>169065</v>
          </cell>
          <cell r="P115">
            <v>169065</v>
          </cell>
          <cell r="Q115">
            <v>10384</v>
          </cell>
        </row>
        <row r="116">
          <cell r="C116">
            <v>96</v>
          </cell>
          <cell r="D116" t="str">
            <v>M</v>
          </cell>
          <cell r="E116">
            <v>41</v>
          </cell>
          <cell r="F116">
            <v>8.3439999999999994</v>
          </cell>
          <cell r="G116">
            <v>16738</v>
          </cell>
          <cell r="H116">
            <v>69840</v>
          </cell>
          <cell r="I116">
            <v>21730</v>
          </cell>
          <cell r="J116">
            <v>21730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2573</v>
          </cell>
        </row>
        <row r="117">
          <cell r="C117">
            <v>98</v>
          </cell>
          <cell r="D117" t="str">
            <v>F</v>
          </cell>
          <cell r="E117">
            <v>44</v>
          </cell>
          <cell r="F117">
            <v>17.943000000000001</v>
          </cell>
          <cell r="G117">
            <v>17246</v>
          </cell>
          <cell r="H117">
            <v>309451</v>
          </cell>
          <cell r="I117">
            <v>139441</v>
          </cell>
          <cell r="J117">
            <v>139441</v>
          </cell>
          <cell r="K117">
            <v>59173</v>
          </cell>
          <cell r="L117">
            <v>59173</v>
          </cell>
          <cell r="M117">
            <v>0</v>
          </cell>
          <cell r="N117">
            <v>59173</v>
          </cell>
          <cell r="O117">
            <v>59173</v>
          </cell>
          <cell r="P117">
            <v>59173</v>
          </cell>
          <cell r="Q117">
            <v>7677</v>
          </cell>
        </row>
        <row r="118">
          <cell r="C118">
            <v>100</v>
          </cell>
          <cell r="D118" t="str">
            <v>M</v>
          </cell>
          <cell r="E118">
            <v>62</v>
          </cell>
          <cell r="F118">
            <v>7.9690000000000003</v>
          </cell>
          <cell r="G118">
            <v>32029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>
            <v>102</v>
          </cell>
          <cell r="D119" t="str">
            <v>M</v>
          </cell>
          <cell r="E119">
            <v>38</v>
          </cell>
          <cell r="F119">
            <v>7.8319999999999999</v>
          </cell>
          <cell r="G119">
            <v>15992</v>
          </cell>
          <cell r="H119">
            <v>62634</v>
          </cell>
          <cell r="I119">
            <v>19918</v>
          </cell>
          <cell r="J119">
            <v>19918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2512</v>
          </cell>
        </row>
        <row r="120">
          <cell r="C120">
            <v>104</v>
          </cell>
          <cell r="D120" t="str">
            <v>M</v>
          </cell>
          <cell r="E120">
            <v>36</v>
          </cell>
          <cell r="F120">
            <v>7.5919999999999996</v>
          </cell>
          <cell r="G120">
            <v>10771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>
            <v>106</v>
          </cell>
          <cell r="D121" t="str">
            <v>F</v>
          </cell>
          <cell r="E121">
            <v>36</v>
          </cell>
          <cell r="F121">
            <v>8.1669999999999998</v>
          </cell>
          <cell r="G121">
            <v>16738</v>
          </cell>
          <cell r="H121">
            <v>68351</v>
          </cell>
          <cell r="I121">
            <v>19916</v>
          </cell>
          <cell r="J121">
            <v>19916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2410</v>
          </cell>
        </row>
        <row r="122">
          <cell r="C122">
            <v>108</v>
          </cell>
          <cell r="D122" t="str">
            <v>F</v>
          </cell>
          <cell r="E122">
            <v>57</v>
          </cell>
          <cell r="F122">
            <v>14.176</v>
          </cell>
          <cell r="G122">
            <v>20468</v>
          </cell>
          <cell r="H122">
            <v>145081</v>
          </cell>
          <cell r="I122">
            <v>116135</v>
          </cell>
          <cell r="J122">
            <v>116135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8099</v>
          </cell>
        </row>
        <row r="123">
          <cell r="C123">
            <v>110</v>
          </cell>
          <cell r="D123" t="str">
            <v>F</v>
          </cell>
          <cell r="E123">
            <v>55</v>
          </cell>
          <cell r="F123">
            <v>8.0410000000000004</v>
          </cell>
          <cell r="G123">
            <v>22705</v>
          </cell>
          <cell r="H123">
            <v>91287</v>
          </cell>
          <cell r="I123">
            <v>65331</v>
          </cell>
          <cell r="J123">
            <v>65331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8029</v>
          </cell>
        </row>
        <row r="124">
          <cell r="C124">
            <v>112</v>
          </cell>
          <cell r="D124" t="str">
            <v>M</v>
          </cell>
          <cell r="E124">
            <v>51</v>
          </cell>
          <cell r="F124">
            <v>19.058</v>
          </cell>
          <cell r="G124">
            <v>18436</v>
          </cell>
          <cell r="H124">
            <v>351359</v>
          </cell>
          <cell r="I124">
            <v>260105</v>
          </cell>
          <cell r="J124">
            <v>260105</v>
          </cell>
          <cell r="K124">
            <v>228238</v>
          </cell>
          <cell r="L124">
            <v>228238</v>
          </cell>
          <cell r="M124">
            <v>0</v>
          </cell>
          <cell r="N124">
            <v>228238</v>
          </cell>
          <cell r="O124">
            <v>228238</v>
          </cell>
          <cell r="P124">
            <v>228238</v>
          </cell>
          <cell r="Q124">
            <v>13478</v>
          </cell>
        </row>
        <row r="125">
          <cell r="C125">
            <v>116</v>
          </cell>
          <cell r="D125" t="str">
            <v>F</v>
          </cell>
          <cell r="E125">
            <v>51</v>
          </cell>
          <cell r="F125">
            <v>8.9220000000000006</v>
          </cell>
          <cell r="G125">
            <v>21587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118</v>
          </cell>
          <cell r="D126" t="str">
            <v>F</v>
          </cell>
          <cell r="E126">
            <v>61</v>
          </cell>
          <cell r="F126">
            <v>17.574000000000002</v>
          </cell>
          <cell r="G126">
            <v>12860</v>
          </cell>
          <cell r="H126">
            <v>226001</v>
          </cell>
          <cell r="I126">
            <v>226068</v>
          </cell>
          <cell r="J126">
            <v>226068</v>
          </cell>
          <cell r="K126">
            <v>132658</v>
          </cell>
          <cell r="L126">
            <v>132658</v>
          </cell>
          <cell r="M126">
            <v>0</v>
          </cell>
          <cell r="N126">
            <v>132658</v>
          </cell>
          <cell r="O126">
            <v>132658</v>
          </cell>
          <cell r="P126">
            <v>132658</v>
          </cell>
          <cell r="Q126">
            <v>12738</v>
          </cell>
        </row>
        <row r="127">
          <cell r="C127">
            <v>120</v>
          </cell>
          <cell r="D127" t="str">
            <v>M</v>
          </cell>
          <cell r="E127">
            <v>50</v>
          </cell>
          <cell r="F127">
            <v>15.726000000000001</v>
          </cell>
          <cell r="G127">
            <v>16738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>
            <v>122</v>
          </cell>
          <cell r="D128" t="str">
            <v>M</v>
          </cell>
          <cell r="E128">
            <v>61</v>
          </cell>
          <cell r="F128">
            <v>21.504999999999999</v>
          </cell>
          <cell r="G128">
            <v>20468</v>
          </cell>
          <cell r="H128">
            <v>440174</v>
          </cell>
          <cell r="I128">
            <v>379773</v>
          </cell>
          <cell r="J128">
            <v>379773</v>
          </cell>
          <cell r="K128">
            <v>277053</v>
          </cell>
          <cell r="L128">
            <v>277053</v>
          </cell>
          <cell r="M128">
            <v>0</v>
          </cell>
          <cell r="N128">
            <v>277053</v>
          </cell>
          <cell r="O128">
            <v>277053</v>
          </cell>
          <cell r="P128">
            <v>277053</v>
          </cell>
          <cell r="Q128">
            <v>17459</v>
          </cell>
        </row>
        <row r="129">
          <cell r="C129">
            <v>124</v>
          </cell>
          <cell r="D129" t="str">
            <v>M</v>
          </cell>
          <cell r="E129">
            <v>40</v>
          </cell>
          <cell r="F129">
            <v>12.01</v>
          </cell>
          <cell r="G129">
            <v>5923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C130">
            <v>126</v>
          </cell>
          <cell r="D130" t="str">
            <v>F</v>
          </cell>
          <cell r="E130">
            <v>59</v>
          </cell>
          <cell r="F130">
            <v>9.8420000000000005</v>
          </cell>
          <cell r="G130">
            <v>6762</v>
          </cell>
          <cell r="H130">
            <v>66558</v>
          </cell>
          <cell r="I130">
            <v>61386</v>
          </cell>
          <cell r="J130">
            <v>61386</v>
          </cell>
          <cell r="K130">
            <v>14054</v>
          </cell>
          <cell r="L130">
            <v>14054</v>
          </cell>
          <cell r="M130">
            <v>0</v>
          </cell>
          <cell r="N130">
            <v>14054</v>
          </cell>
          <cell r="O130">
            <v>14054</v>
          </cell>
          <cell r="P130">
            <v>14054</v>
          </cell>
          <cell r="Q130">
            <v>6169</v>
          </cell>
        </row>
        <row r="131">
          <cell r="C131">
            <v>130</v>
          </cell>
          <cell r="D131" t="str">
            <v>F</v>
          </cell>
          <cell r="E131">
            <v>50</v>
          </cell>
          <cell r="F131">
            <v>10.672000000000001</v>
          </cell>
          <cell r="G131">
            <v>7648</v>
          </cell>
          <cell r="H131">
            <v>81620</v>
          </cell>
          <cell r="I131">
            <v>43291</v>
          </cell>
          <cell r="J131">
            <v>43291</v>
          </cell>
          <cell r="K131">
            <v>16842</v>
          </cell>
          <cell r="L131">
            <v>16842</v>
          </cell>
          <cell r="M131">
            <v>0</v>
          </cell>
          <cell r="N131">
            <v>16842</v>
          </cell>
          <cell r="O131">
            <v>16842</v>
          </cell>
          <cell r="P131">
            <v>16842</v>
          </cell>
          <cell r="Q131">
            <v>4007</v>
          </cell>
        </row>
        <row r="132">
          <cell r="C132">
            <v>132</v>
          </cell>
          <cell r="D132" t="str">
            <v>F</v>
          </cell>
          <cell r="E132">
            <v>38</v>
          </cell>
          <cell r="F132">
            <v>10.672000000000001</v>
          </cell>
          <cell r="G132">
            <v>7228</v>
          </cell>
          <cell r="H132">
            <v>77143</v>
          </cell>
          <cell r="I132">
            <v>33709</v>
          </cell>
          <cell r="J132">
            <v>33709</v>
          </cell>
          <cell r="K132">
            <v>15884</v>
          </cell>
          <cell r="L132">
            <v>15884</v>
          </cell>
          <cell r="M132">
            <v>0</v>
          </cell>
          <cell r="N132">
            <v>15884</v>
          </cell>
          <cell r="O132">
            <v>15884</v>
          </cell>
          <cell r="P132">
            <v>15884</v>
          </cell>
          <cell r="Q132">
            <v>3120</v>
          </cell>
        </row>
        <row r="133">
          <cell r="C133">
            <v>134</v>
          </cell>
          <cell r="D133" t="str">
            <v>F</v>
          </cell>
          <cell r="E133">
            <v>49</v>
          </cell>
          <cell r="F133">
            <v>10.672000000000001</v>
          </cell>
          <cell r="G133">
            <v>7228</v>
          </cell>
          <cell r="H133">
            <v>77143</v>
          </cell>
          <cell r="I133">
            <v>51206</v>
          </cell>
          <cell r="J133">
            <v>51206</v>
          </cell>
          <cell r="K133">
            <v>21344</v>
          </cell>
          <cell r="L133">
            <v>21344</v>
          </cell>
          <cell r="M133">
            <v>0</v>
          </cell>
          <cell r="N133">
            <v>21344</v>
          </cell>
          <cell r="O133">
            <v>21344</v>
          </cell>
          <cell r="P133">
            <v>21344</v>
          </cell>
          <cell r="Q133">
            <v>4740</v>
          </cell>
        </row>
        <row r="134">
          <cell r="C134">
            <v>136</v>
          </cell>
          <cell r="D134" t="str">
            <v>F</v>
          </cell>
          <cell r="E134">
            <v>45</v>
          </cell>
          <cell r="F134">
            <v>10.672000000000001</v>
          </cell>
          <cell r="G134">
            <v>7508</v>
          </cell>
          <cell r="H134">
            <v>80128</v>
          </cell>
          <cell r="I134">
            <v>42847</v>
          </cell>
          <cell r="J134">
            <v>42847</v>
          </cell>
          <cell r="K134">
            <v>15721</v>
          </cell>
          <cell r="L134">
            <v>15721</v>
          </cell>
          <cell r="M134">
            <v>0</v>
          </cell>
          <cell r="N134">
            <v>15721</v>
          </cell>
          <cell r="O134">
            <v>15721</v>
          </cell>
          <cell r="P134">
            <v>15721</v>
          </cell>
          <cell r="Q134">
            <v>3966</v>
          </cell>
        </row>
        <row r="135">
          <cell r="C135">
            <v>138</v>
          </cell>
          <cell r="D135" t="str">
            <v>M</v>
          </cell>
          <cell r="E135">
            <v>54</v>
          </cell>
          <cell r="F135">
            <v>8.8480000000000008</v>
          </cell>
          <cell r="G135">
            <v>21866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C136">
            <v>140</v>
          </cell>
          <cell r="D136" t="str">
            <v>F</v>
          </cell>
          <cell r="E136">
            <v>47</v>
          </cell>
          <cell r="F136">
            <v>7.8630000000000004</v>
          </cell>
          <cell r="G136">
            <v>7601</v>
          </cell>
          <cell r="H136">
            <v>59770</v>
          </cell>
          <cell r="I136">
            <v>32631</v>
          </cell>
          <cell r="J136">
            <v>32631</v>
          </cell>
          <cell r="K136">
            <v>8884</v>
          </cell>
          <cell r="L136">
            <v>8884</v>
          </cell>
          <cell r="M136">
            <v>0</v>
          </cell>
          <cell r="N136">
            <v>8884</v>
          </cell>
          <cell r="O136">
            <v>8884</v>
          </cell>
          <cell r="P136">
            <v>8884</v>
          </cell>
          <cell r="Q136">
            <v>4100</v>
          </cell>
        </row>
        <row r="137">
          <cell r="C137">
            <v>142</v>
          </cell>
          <cell r="D137" t="str">
            <v>M</v>
          </cell>
          <cell r="E137">
            <v>54</v>
          </cell>
          <cell r="F137">
            <v>8.3689999999999998</v>
          </cell>
          <cell r="G137">
            <v>10212</v>
          </cell>
          <cell r="H137">
            <v>85470</v>
          </cell>
          <cell r="I137">
            <v>58820</v>
          </cell>
          <cell r="J137">
            <v>58820</v>
          </cell>
          <cell r="K137">
            <v>9999</v>
          </cell>
          <cell r="L137">
            <v>9999</v>
          </cell>
          <cell r="M137">
            <v>0</v>
          </cell>
          <cell r="N137">
            <v>9999</v>
          </cell>
          <cell r="O137">
            <v>9999</v>
          </cell>
          <cell r="P137">
            <v>9999</v>
          </cell>
          <cell r="Q137">
            <v>6943</v>
          </cell>
        </row>
        <row r="138">
          <cell r="C138">
            <v>144</v>
          </cell>
          <cell r="D138" t="str">
            <v>M</v>
          </cell>
          <cell r="E138">
            <v>41</v>
          </cell>
          <cell r="F138">
            <v>8.5030000000000001</v>
          </cell>
          <cell r="G138">
            <v>23232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C139">
            <v>146</v>
          </cell>
          <cell r="D139" t="str">
            <v>F</v>
          </cell>
          <cell r="E139">
            <v>32</v>
          </cell>
          <cell r="F139">
            <v>8.1120000000000001</v>
          </cell>
          <cell r="G139">
            <v>10445</v>
          </cell>
          <cell r="H139">
            <v>84732</v>
          </cell>
          <cell r="I139">
            <v>30599</v>
          </cell>
          <cell r="J139">
            <v>30599</v>
          </cell>
          <cell r="K139">
            <v>9275</v>
          </cell>
          <cell r="L139">
            <v>9275</v>
          </cell>
          <cell r="M139">
            <v>0</v>
          </cell>
          <cell r="N139">
            <v>9275</v>
          </cell>
          <cell r="O139">
            <v>9275</v>
          </cell>
          <cell r="P139">
            <v>9275</v>
          </cell>
          <cell r="Q139">
            <v>3728</v>
          </cell>
        </row>
        <row r="140">
          <cell r="C140">
            <v>148</v>
          </cell>
          <cell r="D140" t="str">
            <v>M</v>
          </cell>
          <cell r="E140">
            <v>45</v>
          </cell>
          <cell r="F140">
            <v>8.2319999999999993</v>
          </cell>
          <cell r="G140">
            <v>9280</v>
          </cell>
          <cell r="H140">
            <v>76396</v>
          </cell>
          <cell r="I140">
            <v>31077</v>
          </cell>
          <cell r="J140">
            <v>31077</v>
          </cell>
          <cell r="K140">
            <v>8754</v>
          </cell>
          <cell r="L140">
            <v>8754</v>
          </cell>
          <cell r="M140">
            <v>0</v>
          </cell>
          <cell r="N140">
            <v>8754</v>
          </cell>
          <cell r="O140">
            <v>8754</v>
          </cell>
          <cell r="P140">
            <v>8754</v>
          </cell>
          <cell r="Q140">
            <v>3728</v>
          </cell>
        </row>
        <row r="141">
          <cell r="C141">
            <v>150</v>
          </cell>
          <cell r="D141" t="str">
            <v>F</v>
          </cell>
          <cell r="E141">
            <v>30</v>
          </cell>
          <cell r="F141">
            <v>8.1310000000000002</v>
          </cell>
          <cell r="G141">
            <v>7042</v>
          </cell>
          <cell r="H141">
            <v>57261</v>
          </cell>
          <cell r="I141">
            <v>20117</v>
          </cell>
          <cell r="J141">
            <v>20117</v>
          </cell>
          <cell r="K141">
            <v>5599</v>
          </cell>
          <cell r="L141">
            <v>5599</v>
          </cell>
          <cell r="M141">
            <v>0</v>
          </cell>
          <cell r="N141">
            <v>5599</v>
          </cell>
          <cell r="O141">
            <v>5599</v>
          </cell>
          <cell r="P141">
            <v>5599</v>
          </cell>
          <cell r="Q141">
            <v>2445</v>
          </cell>
        </row>
        <row r="142">
          <cell r="C142" t="str">
            <v>All</v>
          </cell>
          <cell r="G142">
            <v>929273</v>
          </cell>
          <cell r="H142">
            <v>7833469</v>
          </cell>
          <cell r="I142">
            <v>5610376</v>
          </cell>
          <cell r="J142">
            <v>5610376</v>
          </cell>
          <cell r="K142">
            <v>3409884</v>
          </cell>
          <cell r="L142">
            <v>3409884</v>
          </cell>
          <cell r="M142">
            <v>0</v>
          </cell>
          <cell r="N142">
            <v>3409884</v>
          </cell>
          <cell r="O142">
            <v>3409884</v>
          </cell>
          <cell r="P142">
            <v>3409884</v>
          </cell>
          <cell r="Q142">
            <v>341485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Sheet1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9182</v>
          </cell>
          <cell r="H24">
            <v>9176</v>
          </cell>
          <cell r="I24">
            <v>2753</v>
          </cell>
          <cell r="J24">
            <v>2753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40</v>
          </cell>
          <cell r="F25">
            <v>11.561</v>
          </cell>
        </row>
        <row r="26">
          <cell r="C26">
            <v>7</v>
          </cell>
          <cell r="D26" t="str">
            <v>F</v>
          </cell>
          <cell r="E26">
            <v>57</v>
          </cell>
          <cell r="F26">
            <v>9.5</v>
          </cell>
          <cell r="G26">
            <v>26276</v>
          </cell>
          <cell r="H26">
            <v>26330</v>
          </cell>
          <cell r="I26">
            <v>18841</v>
          </cell>
          <cell r="J26">
            <v>18841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C27">
            <v>9</v>
          </cell>
          <cell r="D27" t="str">
            <v>F</v>
          </cell>
          <cell r="E27">
            <v>53</v>
          </cell>
          <cell r="F27">
            <v>23.591999999999999</v>
          </cell>
          <cell r="G27">
            <v>12977</v>
          </cell>
          <cell r="H27">
            <v>12968</v>
          </cell>
          <cell r="I27">
            <v>7196</v>
          </cell>
          <cell r="J27">
            <v>7196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11</v>
          </cell>
          <cell r="D28" t="str">
            <v>M</v>
          </cell>
          <cell r="E28">
            <v>52</v>
          </cell>
          <cell r="F28">
            <v>22.838999999999999</v>
          </cell>
          <cell r="G28">
            <v>25591</v>
          </cell>
          <cell r="H28">
            <v>584481</v>
          </cell>
          <cell r="I28">
            <v>462667</v>
          </cell>
          <cell r="J28">
            <v>462667</v>
          </cell>
          <cell r="K28">
            <v>385468</v>
          </cell>
          <cell r="L28">
            <v>385468</v>
          </cell>
          <cell r="M28">
            <v>0</v>
          </cell>
          <cell r="N28">
            <v>385468</v>
          </cell>
          <cell r="O28">
            <v>385468</v>
          </cell>
          <cell r="P28">
            <v>385468</v>
          </cell>
          <cell r="Q28">
            <v>20006</v>
          </cell>
        </row>
        <row r="29">
          <cell r="C29">
            <v>13</v>
          </cell>
          <cell r="D29" t="str">
            <v>M</v>
          </cell>
          <cell r="E29">
            <v>52</v>
          </cell>
          <cell r="F29">
            <v>24.974</v>
          </cell>
          <cell r="G29">
            <v>27130</v>
          </cell>
          <cell r="H29">
            <v>530930</v>
          </cell>
          <cell r="I29">
            <v>375736</v>
          </cell>
          <cell r="J29">
            <v>375736</v>
          </cell>
          <cell r="K29">
            <v>253598</v>
          </cell>
          <cell r="L29">
            <v>253598</v>
          </cell>
          <cell r="M29">
            <v>0</v>
          </cell>
          <cell r="N29">
            <v>253598</v>
          </cell>
          <cell r="O29">
            <v>253598</v>
          </cell>
          <cell r="P29">
            <v>253598</v>
          </cell>
          <cell r="Q29">
            <v>0</v>
          </cell>
        </row>
        <row r="30">
          <cell r="C30">
            <v>15</v>
          </cell>
          <cell r="D30" t="str">
            <v>M</v>
          </cell>
          <cell r="E30">
            <v>55</v>
          </cell>
          <cell r="F30">
            <v>13.888999999999999</v>
          </cell>
          <cell r="G30">
            <v>35232</v>
          </cell>
          <cell r="H30">
            <v>162364</v>
          </cell>
          <cell r="I30">
            <v>82500</v>
          </cell>
          <cell r="J30">
            <v>82500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4952</v>
          </cell>
        </row>
        <row r="31">
          <cell r="C31">
            <v>17</v>
          </cell>
          <cell r="D31" t="str">
            <v>F</v>
          </cell>
          <cell r="E31">
            <v>55</v>
          </cell>
          <cell r="F31">
            <v>18.954000000000001</v>
          </cell>
          <cell r="G31">
            <v>19951</v>
          </cell>
          <cell r="H31">
            <v>120235</v>
          </cell>
          <cell r="I31">
            <v>75305</v>
          </cell>
          <cell r="J31">
            <v>75305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3458</v>
          </cell>
        </row>
        <row r="32">
          <cell r="C32">
            <v>19</v>
          </cell>
          <cell r="D32" t="str">
            <v>M</v>
          </cell>
          <cell r="E32">
            <v>54</v>
          </cell>
          <cell r="F32">
            <v>8.1720000000000006</v>
          </cell>
          <cell r="G32">
            <v>24053</v>
          </cell>
          <cell r="H32">
            <v>56173</v>
          </cell>
          <cell r="I32">
            <v>51224</v>
          </cell>
          <cell r="J32">
            <v>51224</v>
          </cell>
          <cell r="K32">
            <v>50720</v>
          </cell>
          <cell r="L32">
            <v>50720</v>
          </cell>
          <cell r="M32">
            <v>0</v>
          </cell>
          <cell r="N32">
            <v>50720</v>
          </cell>
          <cell r="O32">
            <v>50720</v>
          </cell>
          <cell r="P32">
            <v>50720</v>
          </cell>
          <cell r="Q32">
            <v>0</v>
          </cell>
        </row>
        <row r="33">
          <cell r="C33">
            <v>21</v>
          </cell>
          <cell r="D33" t="str">
            <v>M</v>
          </cell>
          <cell r="E33">
            <v>53</v>
          </cell>
          <cell r="F33">
            <v>24.01</v>
          </cell>
          <cell r="G33">
            <v>22514</v>
          </cell>
          <cell r="H33">
            <v>22499</v>
          </cell>
          <cell r="I33">
            <v>10261</v>
          </cell>
          <cell r="J33">
            <v>10261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25</v>
          </cell>
          <cell r="D34" t="str">
            <v>M</v>
          </cell>
          <cell r="E34">
            <v>51</v>
          </cell>
          <cell r="F34">
            <v>14.176</v>
          </cell>
          <cell r="G34">
            <v>10720</v>
          </cell>
          <cell r="H34">
            <v>10713</v>
          </cell>
          <cell r="I34">
            <v>4400</v>
          </cell>
          <cell r="J34">
            <v>4400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27</v>
          </cell>
          <cell r="D35" t="str">
            <v>M</v>
          </cell>
          <cell r="E35">
            <v>48</v>
          </cell>
          <cell r="F35">
            <v>18.954000000000001</v>
          </cell>
          <cell r="G35">
            <v>13284</v>
          </cell>
          <cell r="H35">
            <v>13275</v>
          </cell>
          <cell r="I35">
            <v>5256</v>
          </cell>
          <cell r="J35">
            <v>5256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31</v>
          </cell>
          <cell r="D36" t="str">
            <v>F</v>
          </cell>
          <cell r="E36">
            <v>40</v>
          </cell>
          <cell r="F36">
            <v>8.8480000000000008</v>
          </cell>
          <cell r="G36">
            <v>9400</v>
          </cell>
          <cell r="H36">
            <v>9420</v>
          </cell>
          <cell r="I36">
            <v>2748</v>
          </cell>
          <cell r="J36">
            <v>2748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33</v>
          </cell>
          <cell r="D37" t="str">
            <v>F</v>
          </cell>
          <cell r="E37">
            <v>39</v>
          </cell>
          <cell r="F37">
            <v>17.920999999999999</v>
          </cell>
          <cell r="G37">
            <v>8849</v>
          </cell>
          <cell r="H37">
            <v>158585</v>
          </cell>
          <cell r="I37">
            <v>101285</v>
          </cell>
          <cell r="J37">
            <v>101285</v>
          </cell>
          <cell r="K37">
            <v>81151</v>
          </cell>
          <cell r="L37">
            <v>81151</v>
          </cell>
          <cell r="M37">
            <v>0</v>
          </cell>
          <cell r="N37">
            <v>81151</v>
          </cell>
          <cell r="O37">
            <v>81151</v>
          </cell>
          <cell r="P37">
            <v>81151</v>
          </cell>
          <cell r="Q37">
            <v>5583</v>
          </cell>
        </row>
        <row r="38">
          <cell r="C38">
            <v>37</v>
          </cell>
          <cell r="D38" t="str">
            <v>M</v>
          </cell>
          <cell r="E38">
            <v>49</v>
          </cell>
          <cell r="F38">
            <v>18.672000000000001</v>
          </cell>
          <cell r="G38">
            <v>18925</v>
          </cell>
          <cell r="H38">
            <v>238187</v>
          </cell>
          <cell r="I38">
            <v>169257</v>
          </cell>
          <cell r="J38">
            <v>169257</v>
          </cell>
          <cell r="K38">
            <v>152159</v>
          </cell>
          <cell r="L38">
            <v>152159</v>
          </cell>
          <cell r="M38">
            <v>0</v>
          </cell>
          <cell r="N38">
            <v>152159</v>
          </cell>
          <cell r="O38">
            <v>152159</v>
          </cell>
          <cell r="P38">
            <v>152159</v>
          </cell>
          <cell r="Q38">
            <v>0</v>
          </cell>
        </row>
        <row r="39">
          <cell r="C39">
            <v>39</v>
          </cell>
          <cell r="D39" t="str">
            <v>M</v>
          </cell>
          <cell r="E39">
            <v>41</v>
          </cell>
          <cell r="F39">
            <v>12.432</v>
          </cell>
          <cell r="G39">
            <v>11746</v>
          </cell>
          <cell r="H39">
            <v>11738</v>
          </cell>
          <cell r="I39">
            <v>3431</v>
          </cell>
          <cell r="J39">
            <v>3431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41</v>
          </cell>
          <cell r="D40" t="str">
            <v>F</v>
          </cell>
          <cell r="E40">
            <v>56</v>
          </cell>
          <cell r="F40">
            <v>23.753</v>
          </cell>
          <cell r="G40">
            <v>14105</v>
          </cell>
          <cell r="H40">
            <v>202081</v>
          </cell>
          <cell r="I40">
            <v>169925</v>
          </cell>
          <cell r="J40">
            <v>169925</v>
          </cell>
          <cell r="K40">
            <v>156000</v>
          </cell>
          <cell r="L40">
            <v>156000</v>
          </cell>
          <cell r="M40">
            <v>0</v>
          </cell>
          <cell r="N40">
            <v>156000</v>
          </cell>
          <cell r="O40">
            <v>156000</v>
          </cell>
          <cell r="P40">
            <v>156000</v>
          </cell>
          <cell r="Q40">
            <v>0</v>
          </cell>
        </row>
        <row r="41">
          <cell r="C41">
            <v>43</v>
          </cell>
          <cell r="D41" t="str">
            <v>F</v>
          </cell>
          <cell r="E41">
            <v>43</v>
          </cell>
          <cell r="F41">
            <v>12.404999999999999</v>
          </cell>
          <cell r="G41">
            <v>14310</v>
          </cell>
          <cell r="H41">
            <v>14300</v>
          </cell>
          <cell r="I41">
            <v>4765</v>
          </cell>
          <cell r="J41">
            <v>4765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45</v>
          </cell>
          <cell r="D42" t="str">
            <v>F</v>
          </cell>
          <cell r="E42">
            <v>26</v>
          </cell>
          <cell r="F42">
            <v>6.3239999999999998</v>
          </cell>
          <cell r="G42">
            <v>8926</v>
          </cell>
          <cell r="H42">
            <v>21682</v>
          </cell>
          <cell r="I42">
            <v>5550</v>
          </cell>
          <cell r="J42">
            <v>5550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633</v>
          </cell>
        </row>
        <row r="43">
          <cell r="C43">
            <v>47</v>
          </cell>
          <cell r="D43" t="str">
            <v>F</v>
          </cell>
          <cell r="E43">
            <v>57</v>
          </cell>
          <cell r="F43">
            <v>11.359</v>
          </cell>
          <cell r="G43">
            <v>11233</v>
          </cell>
          <cell r="H43">
            <v>43810</v>
          </cell>
          <cell r="I43">
            <v>31321</v>
          </cell>
          <cell r="J43">
            <v>31321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2223</v>
          </cell>
        </row>
        <row r="44">
          <cell r="C44">
            <v>71</v>
          </cell>
          <cell r="D44" t="str">
            <v>M</v>
          </cell>
          <cell r="E44">
            <v>55</v>
          </cell>
          <cell r="F44">
            <v>7.7530000000000001</v>
          </cell>
          <cell r="G44">
            <v>25591</v>
          </cell>
          <cell r="H44">
            <v>73972</v>
          </cell>
          <cell r="I44">
            <v>37714</v>
          </cell>
          <cell r="J44">
            <v>37714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3609</v>
          </cell>
        </row>
        <row r="45">
          <cell r="C45">
            <v>73</v>
          </cell>
          <cell r="D45" t="str">
            <v>F</v>
          </cell>
          <cell r="E45">
            <v>52</v>
          </cell>
          <cell r="F45">
            <v>24.041</v>
          </cell>
          <cell r="G45">
            <v>15541</v>
          </cell>
          <cell r="H45">
            <v>225843</v>
          </cell>
          <cell r="I45">
            <v>183388</v>
          </cell>
          <cell r="J45">
            <v>183388</v>
          </cell>
          <cell r="K45">
            <v>180000</v>
          </cell>
          <cell r="L45">
            <v>180000</v>
          </cell>
          <cell r="M45">
            <v>0</v>
          </cell>
          <cell r="N45">
            <v>180000</v>
          </cell>
          <cell r="O45">
            <v>180000</v>
          </cell>
          <cell r="P45">
            <v>180000</v>
          </cell>
          <cell r="Q45">
            <v>0</v>
          </cell>
        </row>
        <row r="46">
          <cell r="C46">
            <v>75</v>
          </cell>
          <cell r="D46" t="str">
            <v>F</v>
          </cell>
          <cell r="E46">
            <v>52</v>
          </cell>
          <cell r="F46">
            <v>18.715</v>
          </cell>
          <cell r="G46">
            <v>16997</v>
          </cell>
          <cell r="H46">
            <v>318112</v>
          </cell>
          <cell r="I46">
            <v>235047</v>
          </cell>
          <cell r="J46">
            <v>235047</v>
          </cell>
          <cell r="K46">
            <v>202878</v>
          </cell>
          <cell r="L46">
            <v>202878</v>
          </cell>
          <cell r="M46">
            <v>0</v>
          </cell>
          <cell r="N46">
            <v>202878</v>
          </cell>
          <cell r="O46">
            <v>202878</v>
          </cell>
          <cell r="P46">
            <v>202878</v>
          </cell>
          <cell r="Q46">
            <v>12407</v>
          </cell>
        </row>
        <row r="47">
          <cell r="C47">
            <v>77</v>
          </cell>
          <cell r="D47" t="str">
            <v>F</v>
          </cell>
          <cell r="E47">
            <v>51</v>
          </cell>
          <cell r="F47">
            <v>10.093999999999999</v>
          </cell>
          <cell r="G47">
            <v>16443</v>
          </cell>
          <cell r="H47">
            <v>16432</v>
          </cell>
          <cell r="I47">
            <v>8183</v>
          </cell>
          <cell r="J47">
            <v>8183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79</v>
          </cell>
          <cell r="D48" t="str">
            <v>F</v>
          </cell>
          <cell r="E48">
            <v>54</v>
          </cell>
          <cell r="F48">
            <v>7.7149999999999999</v>
          </cell>
          <cell r="G48">
            <v>13489</v>
          </cell>
          <cell r="H48">
            <v>38846</v>
          </cell>
          <cell r="I48">
            <v>20429</v>
          </cell>
          <cell r="J48">
            <v>20429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1963</v>
          </cell>
        </row>
        <row r="49">
          <cell r="C49">
            <v>81</v>
          </cell>
          <cell r="D49" t="str">
            <v>F</v>
          </cell>
          <cell r="E49">
            <v>50</v>
          </cell>
          <cell r="F49">
            <v>20.454000000000001</v>
          </cell>
          <cell r="G49">
            <v>16063</v>
          </cell>
          <cell r="H49">
            <v>258195</v>
          </cell>
          <cell r="I49">
            <v>238290</v>
          </cell>
          <cell r="J49">
            <v>270000</v>
          </cell>
          <cell r="K49">
            <v>270000</v>
          </cell>
          <cell r="L49">
            <v>270000</v>
          </cell>
          <cell r="M49">
            <v>0</v>
          </cell>
          <cell r="N49">
            <v>270000</v>
          </cell>
          <cell r="O49">
            <v>270000</v>
          </cell>
          <cell r="P49">
            <v>270000</v>
          </cell>
          <cell r="Q49">
            <v>4646</v>
          </cell>
        </row>
        <row r="50">
          <cell r="C50">
            <v>85</v>
          </cell>
          <cell r="D50" t="str">
            <v>F</v>
          </cell>
          <cell r="E50">
            <v>48</v>
          </cell>
          <cell r="F50">
            <v>16.798999999999999</v>
          </cell>
          <cell r="G50">
            <v>10208</v>
          </cell>
          <cell r="H50">
            <v>90009</v>
          </cell>
          <cell r="I50">
            <v>52811</v>
          </cell>
          <cell r="J50">
            <v>52811</v>
          </cell>
          <cell r="K50">
            <v>36000</v>
          </cell>
          <cell r="L50">
            <v>36000</v>
          </cell>
          <cell r="M50">
            <v>0</v>
          </cell>
          <cell r="N50">
            <v>36000</v>
          </cell>
          <cell r="O50">
            <v>36000</v>
          </cell>
          <cell r="P50">
            <v>36000</v>
          </cell>
          <cell r="Q50">
            <v>1657</v>
          </cell>
        </row>
        <row r="51">
          <cell r="C51">
            <v>87</v>
          </cell>
          <cell r="D51" t="str">
            <v>M</v>
          </cell>
          <cell r="E51">
            <v>47</v>
          </cell>
          <cell r="F51">
            <v>14.061</v>
          </cell>
          <cell r="G51">
            <v>23540</v>
          </cell>
          <cell r="H51">
            <v>177267</v>
          </cell>
          <cell r="I51">
            <v>60671</v>
          </cell>
          <cell r="J51">
            <v>60671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3978</v>
          </cell>
        </row>
        <row r="52">
          <cell r="C52">
            <v>91</v>
          </cell>
          <cell r="D52" t="str">
            <v>F</v>
          </cell>
          <cell r="E52">
            <v>40</v>
          </cell>
          <cell r="F52">
            <v>14.379</v>
          </cell>
          <cell r="G52">
            <v>11356</v>
          </cell>
          <cell r="H52">
            <v>163292</v>
          </cell>
          <cell r="I52">
            <v>94046</v>
          </cell>
          <cell r="J52">
            <v>94046</v>
          </cell>
          <cell r="K52">
            <v>71007</v>
          </cell>
          <cell r="L52">
            <v>71007</v>
          </cell>
          <cell r="M52">
            <v>0</v>
          </cell>
          <cell r="N52">
            <v>71007</v>
          </cell>
          <cell r="O52">
            <v>71007</v>
          </cell>
          <cell r="P52">
            <v>71007</v>
          </cell>
          <cell r="Q52">
            <v>6461</v>
          </cell>
        </row>
        <row r="53">
          <cell r="C53">
            <v>93</v>
          </cell>
          <cell r="D53" t="str">
            <v>F</v>
          </cell>
          <cell r="E53">
            <v>49</v>
          </cell>
          <cell r="F53">
            <v>8.9220000000000006</v>
          </cell>
          <cell r="G53">
            <v>9515</v>
          </cell>
          <cell r="H53">
            <v>9534</v>
          </cell>
          <cell r="I53">
            <v>4228</v>
          </cell>
          <cell r="J53">
            <v>4228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95</v>
          </cell>
          <cell r="D54" t="str">
            <v>F</v>
          </cell>
          <cell r="E54">
            <v>42</v>
          </cell>
          <cell r="F54">
            <v>8.1639999999999997</v>
          </cell>
          <cell r="G54">
            <v>13900</v>
          </cell>
          <cell r="H54">
            <v>13890</v>
          </cell>
          <cell r="I54">
            <v>4197</v>
          </cell>
          <cell r="J54">
            <v>4197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97</v>
          </cell>
          <cell r="D55" t="str">
            <v>M</v>
          </cell>
          <cell r="E55">
            <v>42</v>
          </cell>
          <cell r="F55">
            <v>8.4459999999999997</v>
          </cell>
          <cell r="G55">
            <v>14556</v>
          </cell>
          <cell r="H55">
            <v>68745</v>
          </cell>
          <cell r="I55">
            <v>21572</v>
          </cell>
          <cell r="J55">
            <v>21572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2256</v>
          </cell>
        </row>
        <row r="56">
          <cell r="C56">
            <v>99</v>
          </cell>
          <cell r="D56" t="str">
            <v>F</v>
          </cell>
          <cell r="E56">
            <v>62</v>
          </cell>
          <cell r="F56">
            <v>19.292999999999999</v>
          </cell>
          <cell r="G56">
            <v>22576</v>
          </cell>
          <cell r="H56">
            <v>435573</v>
          </cell>
          <cell r="I56">
            <v>415840</v>
          </cell>
          <cell r="J56">
            <v>415840</v>
          </cell>
          <cell r="K56">
            <v>304317</v>
          </cell>
          <cell r="L56">
            <v>304317</v>
          </cell>
          <cell r="M56">
            <v>0</v>
          </cell>
          <cell r="N56">
            <v>304317</v>
          </cell>
          <cell r="O56">
            <v>304317</v>
          </cell>
          <cell r="P56">
            <v>304317</v>
          </cell>
          <cell r="Q56">
            <v>21342</v>
          </cell>
        </row>
        <row r="57">
          <cell r="C57">
            <v>101</v>
          </cell>
          <cell r="D57" t="str">
            <v>F</v>
          </cell>
          <cell r="E57">
            <v>43</v>
          </cell>
          <cell r="F57">
            <v>17.738</v>
          </cell>
          <cell r="G57">
            <v>25078</v>
          </cell>
          <cell r="H57">
            <v>214771</v>
          </cell>
          <cell r="I57">
            <v>221348</v>
          </cell>
          <cell r="J57">
            <v>240000</v>
          </cell>
          <cell r="K57">
            <v>240000</v>
          </cell>
          <cell r="L57">
            <v>240000</v>
          </cell>
          <cell r="M57">
            <v>0</v>
          </cell>
          <cell r="N57">
            <v>240000</v>
          </cell>
          <cell r="O57">
            <v>240000</v>
          </cell>
          <cell r="P57">
            <v>240000</v>
          </cell>
          <cell r="Q57">
            <v>0</v>
          </cell>
        </row>
        <row r="58">
          <cell r="C58">
            <v>103</v>
          </cell>
          <cell r="D58" t="str">
            <v>M</v>
          </cell>
          <cell r="E58">
            <v>37</v>
          </cell>
          <cell r="F58">
            <v>7.7939999999999996</v>
          </cell>
          <cell r="G58">
            <v>21848</v>
          </cell>
          <cell r="H58">
            <v>96065</v>
          </cell>
          <cell r="I58">
            <v>26508</v>
          </cell>
          <cell r="J58">
            <v>26508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2979</v>
          </cell>
        </row>
        <row r="59">
          <cell r="C59">
            <v>105</v>
          </cell>
          <cell r="D59" t="str">
            <v>M</v>
          </cell>
          <cell r="E59">
            <v>36</v>
          </cell>
          <cell r="F59">
            <v>8.2379999999999995</v>
          </cell>
          <cell r="G59">
            <v>13771</v>
          </cell>
          <cell r="H59">
            <v>13762</v>
          </cell>
          <cell r="I59">
            <v>3836</v>
          </cell>
          <cell r="J59">
            <v>3836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C60">
            <v>107</v>
          </cell>
          <cell r="D60" t="str">
            <v>M</v>
          </cell>
          <cell r="E60">
            <v>31</v>
          </cell>
          <cell r="F60">
            <v>8.4649999999999999</v>
          </cell>
          <cell r="G60">
            <v>20463</v>
          </cell>
          <cell r="H60">
            <v>96840</v>
          </cell>
          <cell r="I60">
            <v>25849</v>
          </cell>
          <cell r="J60">
            <v>25849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2699</v>
          </cell>
        </row>
        <row r="61">
          <cell r="C61">
            <v>109</v>
          </cell>
          <cell r="D61" t="str">
            <v>M</v>
          </cell>
          <cell r="E61">
            <v>47</v>
          </cell>
          <cell r="F61">
            <v>7.7750000000000004</v>
          </cell>
          <cell r="G61">
            <v>20309</v>
          </cell>
          <cell r="H61">
            <v>89106</v>
          </cell>
          <cell r="I61">
            <v>30572</v>
          </cell>
          <cell r="J61">
            <v>30572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3441</v>
          </cell>
        </row>
        <row r="62">
          <cell r="C62">
            <v>111</v>
          </cell>
          <cell r="D62" t="str">
            <v>F</v>
          </cell>
          <cell r="E62">
            <v>60</v>
          </cell>
          <cell r="F62">
            <v>21.504999999999999</v>
          </cell>
          <cell r="G62">
            <v>22925</v>
          </cell>
          <cell r="H62">
            <v>493014</v>
          </cell>
          <cell r="I62">
            <v>453665</v>
          </cell>
          <cell r="J62">
            <v>453665</v>
          </cell>
          <cell r="K62">
            <v>405756</v>
          </cell>
          <cell r="L62">
            <v>405756</v>
          </cell>
          <cell r="M62">
            <v>0</v>
          </cell>
          <cell r="N62">
            <v>405756</v>
          </cell>
          <cell r="O62">
            <v>405756</v>
          </cell>
          <cell r="P62">
            <v>405756</v>
          </cell>
          <cell r="Q62">
            <v>20876</v>
          </cell>
        </row>
        <row r="63">
          <cell r="C63">
            <v>113</v>
          </cell>
          <cell r="D63" t="str">
            <v>M</v>
          </cell>
          <cell r="E63">
            <v>36</v>
          </cell>
          <cell r="F63">
            <v>8.3010000000000002</v>
          </cell>
          <cell r="G63">
            <v>20053</v>
          </cell>
          <cell r="H63">
            <v>93251</v>
          </cell>
          <cell r="I63">
            <v>25990</v>
          </cell>
          <cell r="J63">
            <v>25990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2762</v>
          </cell>
        </row>
        <row r="64">
          <cell r="C64">
            <v>115</v>
          </cell>
          <cell r="D64" t="str">
            <v>F</v>
          </cell>
          <cell r="E64">
            <v>54</v>
          </cell>
          <cell r="F64">
            <v>20.974</v>
          </cell>
          <cell r="G64">
            <v>14823</v>
          </cell>
          <cell r="H64">
            <v>310900</v>
          </cell>
          <cell r="I64">
            <v>212113</v>
          </cell>
          <cell r="J64">
            <v>212113</v>
          </cell>
          <cell r="K64">
            <v>131871</v>
          </cell>
          <cell r="L64">
            <v>131871</v>
          </cell>
          <cell r="M64">
            <v>0</v>
          </cell>
          <cell r="N64">
            <v>131871</v>
          </cell>
          <cell r="O64">
            <v>131871</v>
          </cell>
          <cell r="P64">
            <v>131871</v>
          </cell>
          <cell r="Q64">
            <v>9994</v>
          </cell>
        </row>
        <row r="65">
          <cell r="C65">
            <v>117</v>
          </cell>
          <cell r="D65" t="str">
            <v>F</v>
          </cell>
          <cell r="E65">
            <v>61</v>
          </cell>
          <cell r="F65">
            <v>20.238</v>
          </cell>
          <cell r="G65">
            <v>19745</v>
          </cell>
          <cell r="H65">
            <v>399611</v>
          </cell>
          <cell r="I65">
            <v>379132</v>
          </cell>
          <cell r="J65">
            <v>379132</v>
          </cell>
          <cell r="K65">
            <v>167786</v>
          </cell>
          <cell r="L65">
            <v>167786</v>
          </cell>
          <cell r="M65">
            <v>0</v>
          </cell>
          <cell r="N65">
            <v>167786</v>
          </cell>
          <cell r="O65">
            <v>167786</v>
          </cell>
          <cell r="P65">
            <v>167786</v>
          </cell>
          <cell r="Q65">
            <v>18550</v>
          </cell>
        </row>
        <row r="66">
          <cell r="C66">
            <v>119</v>
          </cell>
          <cell r="D66" t="str">
            <v>M</v>
          </cell>
          <cell r="E66">
            <v>62</v>
          </cell>
          <cell r="F66">
            <v>19.388999999999999</v>
          </cell>
          <cell r="G66">
            <v>17899</v>
          </cell>
          <cell r="H66">
            <v>347059</v>
          </cell>
          <cell r="I66">
            <v>305184</v>
          </cell>
          <cell r="J66">
            <v>305184</v>
          </cell>
          <cell r="K66">
            <v>56389</v>
          </cell>
          <cell r="L66">
            <v>56389</v>
          </cell>
          <cell r="M66">
            <v>0</v>
          </cell>
          <cell r="N66">
            <v>56389</v>
          </cell>
          <cell r="O66">
            <v>56389</v>
          </cell>
          <cell r="P66">
            <v>56389</v>
          </cell>
          <cell r="Q66">
            <v>15569</v>
          </cell>
        </row>
        <row r="67">
          <cell r="C67">
            <v>121</v>
          </cell>
          <cell r="D67" t="str">
            <v>M</v>
          </cell>
          <cell r="E67">
            <v>55</v>
          </cell>
          <cell r="F67">
            <v>34.101999999999997</v>
          </cell>
          <cell r="G67">
            <v>23540</v>
          </cell>
          <cell r="H67">
            <v>413151</v>
          </cell>
          <cell r="I67">
            <v>211407</v>
          </cell>
          <cell r="J67">
            <v>211407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5950</v>
          </cell>
        </row>
        <row r="68">
          <cell r="C68">
            <v>123</v>
          </cell>
          <cell r="D68" t="str">
            <v>M</v>
          </cell>
          <cell r="E68">
            <v>32</v>
          </cell>
          <cell r="F68">
            <v>8.4130000000000003</v>
          </cell>
          <cell r="G68">
            <v>8567</v>
          </cell>
          <cell r="H68">
            <v>8561</v>
          </cell>
          <cell r="I68">
            <v>2310</v>
          </cell>
          <cell r="J68">
            <v>2310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C69">
            <v>125</v>
          </cell>
          <cell r="D69" t="str">
            <v>F</v>
          </cell>
          <cell r="E69">
            <v>46</v>
          </cell>
          <cell r="F69">
            <v>11.670999999999999</v>
          </cell>
          <cell r="G69">
            <v>6515</v>
          </cell>
          <cell r="H69">
            <v>6511</v>
          </cell>
          <cell r="I69">
            <v>2211</v>
          </cell>
          <cell r="J69">
            <v>2211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>
            <v>129</v>
          </cell>
          <cell r="D70" t="str">
            <v>M</v>
          </cell>
          <cell r="E70">
            <v>59</v>
          </cell>
          <cell r="F70">
            <v>10.288</v>
          </cell>
          <cell r="G70">
            <v>8156</v>
          </cell>
          <cell r="H70">
            <v>83920</v>
          </cell>
          <cell r="I70">
            <v>60604</v>
          </cell>
          <cell r="J70">
            <v>60604</v>
          </cell>
          <cell r="K70">
            <v>19745</v>
          </cell>
          <cell r="L70">
            <v>19745</v>
          </cell>
          <cell r="M70">
            <v>0</v>
          </cell>
          <cell r="N70">
            <v>19745</v>
          </cell>
          <cell r="O70">
            <v>19745</v>
          </cell>
          <cell r="P70">
            <v>19745</v>
          </cell>
          <cell r="Q70">
            <v>5821</v>
          </cell>
        </row>
        <row r="71">
          <cell r="C71">
            <v>131</v>
          </cell>
          <cell r="D71" t="str">
            <v>F</v>
          </cell>
          <cell r="E71">
            <v>44</v>
          </cell>
          <cell r="F71">
            <v>10.672000000000001</v>
          </cell>
          <cell r="G71">
            <v>15335</v>
          </cell>
          <cell r="H71">
            <v>89493</v>
          </cell>
          <cell r="I71">
            <v>28529</v>
          </cell>
          <cell r="J71">
            <v>28529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2415</v>
          </cell>
        </row>
        <row r="72">
          <cell r="C72">
            <v>133</v>
          </cell>
          <cell r="D72" t="str">
            <v>M</v>
          </cell>
          <cell r="E72">
            <v>51</v>
          </cell>
          <cell r="F72">
            <v>10.19</v>
          </cell>
          <cell r="G72">
            <v>16361</v>
          </cell>
          <cell r="H72">
            <v>16350</v>
          </cell>
          <cell r="I72">
            <v>6761</v>
          </cell>
          <cell r="J72">
            <v>6761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135</v>
          </cell>
          <cell r="D73" t="str">
            <v>F</v>
          </cell>
          <cell r="E73">
            <v>36</v>
          </cell>
          <cell r="F73">
            <v>10.672000000000001</v>
          </cell>
          <cell r="G73">
            <v>12259</v>
          </cell>
          <cell r="H73">
            <v>130826</v>
          </cell>
          <cell r="I73">
            <v>61137</v>
          </cell>
          <cell r="J73">
            <v>61137</v>
          </cell>
          <cell r="K73">
            <v>36553</v>
          </cell>
          <cell r="L73">
            <v>36553</v>
          </cell>
          <cell r="M73">
            <v>0</v>
          </cell>
          <cell r="N73">
            <v>36553</v>
          </cell>
          <cell r="O73">
            <v>36553</v>
          </cell>
          <cell r="P73">
            <v>36553</v>
          </cell>
          <cell r="Q73">
            <v>5662</v>
          </cell>
        </row>
        <row r="74">
          <cell r="C74">
            <v>137</v>
          </cell>
          <cell r="D74" t="str">
            <v>M</v>
          </cell>
          <cell r="E74">
            <v>58</v>
          </cell>
          <cell r="F74">
            <v>10.672000000000001</v>
          </cell>
          <cell r="G74">
            <v>11720</v>
          </cell>
          <cell r="H74">
            <v>125080</v>
          </cell>
          <cell r="I74">
            <v>100557</v>
          </cell>
          <cell r="J74">
            <v>100557</v>
          </cell>
          <cell r="K74">
            <v>48984</v>
          </cell>
          <cell r="L74">
            <v>48984</v>
          </cell>
          <cell r="M74">
            <v>0</v>
          </cell>
          <cell r="N74">
            <v>48984</v>
          </cell>
          <cell r="O74">
            <v>48984</v>
          </cell>
          <cell r="P74">
            <v>48984</v>
          </cell>
          <cell r="Q74">
            <v>9312</v>
          </cell>
        </row>
        <row r="75">
          <cell r="C75">
            <v>139</v>
          </cell>
          <cell r="D75" t="str">
            <v>M</v>
          </cell>
          <cell r="E75">
            <v>48</v>
          </cell>
          <cell r="F75">
            <v>10.672000000000001</v>
          </cell>
          <cell r="G75">
            <v>12259</v>
          </cell>
          <cell r="H75">
            <v>71538</v>
          </cell>
          <cell r="I75">
            <v>28271</v>
          </cell>
          <cell r="J75">
            <v>28271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2392</v>
          </cell>
        </row>
        <row r="76">
          <cell r="C76">
            <v>143</v>
          </cell>
          <cell r="D76" t="str">
            <v>F</v>
          </cell>
          <cell r="E76">
            <v>43</v>
          </cell>
          <cell r="F76">
            <v>8.3010000000000002</v>
          </cell>
          <cell r="G76">
            <v>7746</v>
          </cell>
          <cell r="H76">
            <v>64302</v>
          </cell>
          <cell r="I76">
            <v>24180</v>
          </cell>
          <cell r="J76">
            <v>24180</v>
          </cell>
          <cell r="K76">
            <v>4417</v>
          </cell>
          <cell r="L76">
            <v>4417</v>
          </cell>
          <cell r="M76">
            <v>0</v>
          </cell>
          <cell r="N76">
            <v>4417</v>
          </cell>
          <cell r="O76">
            <v>4417</v>
          </cell>
          <cell r="P76">
            <v>4417</v>
          </cell>
          <cell r="Q76">
            <v>2878</v>
          </cell>
        </row>
        <row r="77">
          <cell r="C77">
            <v>147</v>
          </cell>
          <cell r="D77" t="str">
            <v>M</v>
          </cell>
          <cell r="E77">
            <v>40</v>
          </cell>
          <cell r="F77">
            <v>8.2509999999999994</v>
          </cell>
          <cell r="G77">
            <v>12771</v>
          </cell>
          <cell r="H77">
            <v>105389</v>
          </cell>
          <cell r="I77">
            <v>39961</v>
          </cell>
          <cell r="J77">
            <v>39961</v>
          </cell>
          <cell r="K77">
            <v>12657</v>
          </cell>
          <cell r="L77">
            <v>12657</v>
          </cell>
          <cell r="M77">
            <v>0</v>
          </cell>
          <cell r="N77">
            <v>12657</v>
          </cell>
          <cell r="O77">
            <v>12657</v>
          </cell>
          <cell r="P77">
            <v>12657</v>
          </cell>
          <cell r="Q77">
            <v>4784</v>
          </cell>
        </row>
        <row r="78">
          <cell r="C78">
            <v>149</v>
          </cell>
          <cell r="D78" t="str">
            <v>F</v>
          </cell>
          <cell r="E78">
            <v>39</v>
          </cell>
          <cell r="F78">
            <v>8.1340000000000003</v>
          </cell>
          <cell r="G78">
            <v>7541</v>
          </cell>
          <cell r="H78">
            <v>61340</v>
          </cell>
          <cell r="I78">
            <v>22630</v>
          </cell>
          <cell r="J78">
            <v>22630</v>
          </cell>
          <cell r="K78">
            <v>6507</v>
          </cell>
          <cell r="L78">
            <v>6507</v>
          </cell>
          <cell r="M78">
            <v>0</v>
          </cell>
          <cell r="N78">
            <v>6507</v>
          </cell>
          <cell r="O78">
            <v>6507</v>
          </cell>
          <cell r="P78">
            <v>6507</v>
          </cell>
          <cell r="Q78">
            <v>2748</v>
          </cell>
        </row>
        <row r="79">
          <cell r="C79" t="str">
            <v>All</v>
          </cell>
          <cell r="G79">
            <v>873862</v>
          </cell>
          <cell r="H79">
            <v>7469497</v>
          </cell>
          <cell r="I79">
            <v>5233597</v>
          </cell>
          <cell r="J79">
            <v>5283959</v>
          </cell>
          <cell r="K79">
            <v>3273961</v>
          </cell>
          <cell r="L79">
            <v>3273961</v>
          </cell>
          <cell r="M79">
            <v>0</v>
          </cell>
          <cell r="N79">
            <v>3273961</v>
          </cell>
          <cell r="O79">
            <v>3273961</v>
          </cell>
          <cell r="P79">
            <v>3273961</v>
          </cell>
          <cell r="Q79">
            <v>214006</v>
          </cell>
        </row>
        <row r="82">
          <cell r="C82" t="str">
            <v>Valuation Date 31DEC2024, Scenario=0,Prob Scenario=0,RFScenario=1,Inflation=0, Reporting Group B</v>
          </cell>
        </row>
        <row r="83">
          <cell r="G83" t="str">
            <v>Last Monthly Salary For Severance</v>
          </cell>
          <cell r="H83" t="str">
            <v>Pitzuim</v>
          </cell>
          <cell r="I83" t="str">
            <v>Salary Value</v>
          </cell>
          <cell r="J83" t="str">
            <v>Salary Value Final</v>
          </cell>
          <cell r="K83" t="str">
            <v>Severance Pay Fund</v>
          </cell>
          <cell r="L83" t="str">
            <v>Severance Pay Fund Value1</v>
          </cell>
          <cell r="M83" t="str">
            <v>Severance Pay Fund0</v>
          </cell>
          <cell r="N83" t="str">
            <v>Severance Pay Fund Value</v>
          </cell>
          <cell r="O83" t="str">
            <v>Severance Pay Fund Value Final</v>
          </cell>
          <cell r="P83" t="str">
            <v>Severance Pay Fund Value Final 2</v>
          </cell>
          <cell r="Q83" t="str">
            <v>Current Service Cost final</v>
          </cell>
        </row>
        <row r="84">
          <cell r="C84" t="str">
            <v>Unique Identity Number</v>
          </cell>
          <cell r="D84" t="str">
            <v>Gender</v>
          </cell>
          <cell r="E84" t="str">
            <v>Age</v>
          </cell>
          <cell r="F84" t="str">
            <v>Seniority in Yrs</v>
          </cell>
          <cell r="G84">
            <v>23540</v>
          </cell>
          <cell r="H84">
            <v>89283</v>
          </cell>
          <cell r="I84">
            <v>27586</v>
          </cell>
          <cell r="J84">
            <v>27586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2012</v>
          </cell>
        </row>
        <row r="85">
          <cell r="C85">
            <v>2</v>
          </cell>
          <cell r="D85" t="str">
            <v>F</v>
          </cell>
          <cell r="E85">
            <v>40</v>
          </cell>
          <cell r="F85">
            <v>10.976000000000001</v>
          </cell>
        </row>
        <row r="86">
          <cell r="C86">
            <v>4</v>
          </cell>
          <cell r="D86" t="str">
            <v>F</v>
          </cell>
          <cell r="E86">
            <v>58</v>
          </cell>
          <cell r="F86">
            <v>22.984000000000002</v>
          </cell>
          <cell r="G86">
            <v>12259</v>
          </cell>
          <cell r="H86">
            <v>281757</v>
          </cell>
          <cell r="I86">
            <v>229898</v>
          </cell>
          <cell r="J86">
            <v>229898</v>
          </cell>
          <cell r="K86">
            <v>142015</v>
          </cell>
          <cell r="L86">
            <v>142015</v>
          </cell>
          <cell r="M86">
            <v>0</v>
          </cell>
          <cell r="N86">
            <v>142015</v>
          </cell>
          <cell r="O86">
            <v>142015</v>
          </cell>
          <cell r="P86">
            <v>142015</v>
          </cell>
          <cell r="Q86">
            <v>9894</v>
          </cell>
        </row>
        <row r="87">
          <cell r="C87">
            <v>10</v>
          </cell>
          <cell r="D87" t="str">
            <v>M</v>
          </cell>
          <cell r="E87">
            <v>52</v>
          </cell>
          <cell r="F87">
            <v>8.3640000000000008</v>
          </cell>
          <cell r="G87">
            <v>10720</v>
          </cell>
          <cell r="H87">
            <v>32820</v>
          </cell>
          <cell r="I87">
            <v>19065</v>
          </cell>
          <cell r="J87">
            <v>19065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1722</v>
          </cell>
        </row>
        <row r="88">
          <cell r="C88">
            <v>12</v>
          </cell>
          <cell r="D88" t="str">
            <v>M</v>
          </cell>
          <cell r="E88">
            <v>52</v>
          </cell>
          <cell r="F88">
            <v>8.4510000000000005</v>
          </cell>
          <cell r="G88">
            <v>8669</v>
          </cell>
          <cell r="H88">
            <v>8663</v>
          </cell>
          <cell r="I88">
            <v>5035</v>
          </cell>
          <cell r="J88">
            <v>5035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C89">
            <v>16</v>
          </cell>
          <cell r="D89" t="str">
            <v>F</v>
          </cell>
          <cell r="E89">
            <v>54</v>
          </cell>
          <cell r="F89">
            <v>24.01</v>
          </cell>
          <cell r="G89">
            <v>11233</v>
          </cell>
          <cell r="H89">
            <v>223217</v>
          </cell>
          <cell r="I89">
            <v>175741</v>
          </cell>
          <cell r="J89">
            <v>175741</v>
          </cell>
          <cell r="K89">
            <v>152159</v>
          </cell>
          <cell r="L89">
            <v>152158</v>
          </cell>
          <cell r="M89">
            <v>0</v>
          </cell>
          <cell r="N89">
            <v>152158</v>
          </cell>
          <cell r="O89">
            <v>152158</v>
          </cell>
          <cell r="P89">
            <v>152158</v>
          </cell>
          <cell r="Q89">
            <v>2447</v>
          </cell>
        </row>
        <row r="90">
          <cell r="C90">
            <v>18</v>
          </cell>
          <cell r="D90" t="str">
            <v>F</v>
          </cell>
          <cell r="E90">
            <v>54</v>
          </cell>
          <cell r="F90">
            <v>14.346</v>
          </cell>
          <cell r="G90">
            <v>24566</v>
          </cell>
          <cell r="H90">
            <v>24549</v>
          </cell>
          <cell r="I90">
            <v>13128</v>
          </cell>
          <cell r="J90">
            <v>13128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C91">
            <v>22</v>
          </cell>
          <cell r="D91" t="str">
            <v>F</v>
          </cell>
          <cell r="E91">
            <v>53</v>
          </cell>
          <cell r="F91">
            <v>14.061</v>
          </cell>
          <cell r="G91">
            <v>51641</v>
          </cell>
          <cell r="H91">
            <v>508918</v>
          </cell>
          <cell r="I91">
            <v>401266</v>
          </cell>
          <cell r="J91">
            <v>401266</v>
          </cell>
          <cell r="K91">
            <v>180000</v>
          </cell>
          <cell r="L91">
            <v>180000</v>
          </cell>
          <cell r="M91">
            <v>0</v>
          </cell>
          <cell r="N91">
            <v>180000</v>
          </cell>
          <cell r="O91">
            <v>180000</v>
          </cell>
          <cell r="P91">
            <v>180000</v>
          </cell>
          <cell r="Q91">
            <v>11263</v>
          </cell>
        </row>
        <row r="92">
          <cell r="C92">
            <v>24</v>
          </cell>
          <cell r="D92" t="str">
            <v>M</v>
          </cell>
          <cell r="E92">
            <v>45</v>
          </cell>
          <cell r="F92">
            <v>8.1669999999999998</v>
          </cell>
          <cell r="G92">
            <v>27027</v>
          </cell>
          <cell r="H92">
            <v>27009</v>
          </cell>
          <cell r="I92">
            <v>9138</v>
          </cell>
          <cell r="J92">
            <v>9138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C93">
            <v>26</v>
          </cell>
          <cell r="D93" t="str">
            <v>F</v>
          </cell>
          <cell r="E93">
            <v>50</v>
          </cell>
          <cell r="F93">
            <v>8.0410000000000004</v>
          </cell>
          <cell r="G93">
            <v>23818</v>
          </cell>
          <cell r="H93">
            <v>56341</v>
          </cell>
          <cell r="I93">
            <v>64837</v>
          </cell>
          <cell r="J93">
            <v>84000</v>
          </cell>
          <cell r="K93">
            <v>84000</v>
          </cell>
          <cell r="L93">
            <v>84000</v>
          </cell>
          <cell r="M93">
            <v>0</v>
          </cell>
          <cell r="N93">
            <v>84000</v>
          </cell>
          <cell r="O93">
            <v>84000</v>
          </cell>
          <cell r="P93">
            <v>84000</v>
          </cell>
          <cell r="Q93">
            <v>0</v>
          </cell>
        </row>
        <row r="94">
          <cell r="C94">
            <v>28</v>
          </cell>
          <cell r="D94" t="str">
            <v>F</v>
          </cell>
          <cell r="E94">
            <v>49</v>
          </cell>
          <cell r="F94">
            <v>8.9220000000000006</v>
          </cell>
          <cell r="G94">
            <v>25591</v>
          </cell>
          <cell r="H94">
            <v>228341</v>
          </cell>
          <cell r="I94">
            <v>249153</v>
          </cell>
          <cell r="J94">
            <v>253598</v>
          </cell>
          <cell r="K94">
            <v>253598</v>
          </cell>
          <cell r="L94">
            <v>253598</v>
          </cell>
          <cell r="M94">
            <v>0</v>
          </cell>
          <cell r="N94">
            <v>253598</v>
          </cell>
          <cell r="O94">
            <v>253598</v>
          </cell>
          <cell r="P94">
            <v>253598</v>
          </cell>
          <cell r="Q94">
            <v>28078</v>
          </cell>
        </row>
        <row r="95">
          <cell r="C95">
            <v>30</v>
          </cell>
          <cell r="D95" t="str">
            <v>M</v>
          </cell>
          <cell r="E95">
            <v>44</v>
          </cell>
          <cell r="F95">
            <v>10.19</v>
          </cell>
          <cell r="G95">
            <v>11233</v>
          </cell>
          <cell r="H95">
            <v>11225</v>
          </cell>
          <cell r="I95">
            <v>4320</v>
          </cell>
          <cell r="J95">
            <v>4320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32</v>
          </cell>
          <cell r="D96" t="str">
            <v>M</v>
          </cell>
          <cell r="E96">
            <v>40</v>
          </cell>
          <cell r="F96">
            <v>17.376999999999999</v>
          </cell>
          <cell r="G96">
            <v>19438</v>
          </cell>
          <cell r="H96">
            <v>337772</v>
          </cell>
          <cell r="I96">
            <v>234333</v>
          </cell>
          <cell r="J96">
            <v>234333</v>
          </cell>
          <cell r="K96">
            <v>182590</v>
          </cell>
          <cell r="L96">
            <v>182590</v>
          </cell>
          <cell r="M96">
            <v>0</v>
          </cell>
          <cell r="N96">
            <v>182590</v>
          </cell>
          <cell r="O96">
            <v>182590</v>
          </cell>
          <cell r="P96">
            <v>182590</v>
          </cell>
          <cell r="Q96">
            <v>13322</v>
          </cell>
        </row>
        <row r="97">
          <cell r="C97">
            <v>34</v>
          </cell>
          <cell r="D97" t="str">
            <v>M</v>
          </cell>
          <cell r="E97">
            <v>46</v>
          </cell>
          <cell r="F97">
            <v>23.085000000000001</v>
          </cell>
          <cell r="G97">
            <v>28668</v>
          </cell>
          <cell r="H97">
            <v>509312</v>
          </cell>
          <cell r="I97">
            <v>357677</v>
          </cell>
          <cell r="J97">
            <v>357677</v>
          </cell>
          <cell r="K97">
            <v>243454</v>
          </cell>
          <cell r="L97">
            <v>243454</v>
          </cell>
          <cell r="M97">
            <v>0</v>
          </cell>
          <cell r="N97">
            <v>243454</v>
          </cell>
          <cell r="O97">
            <v>243454</v>
          </cell>
          <cell r="P97">
            <v>243454</v>
          </cell>
          <cell r="Q97">
            <v>0</v>
          </cell>
        </row>
        <row r="98">
          <cell r="C98">
            <v>36</v>
          </cell>
          <cell r="D98" t="str">
            <v>M</v>
          </cell>
          <cell r="E98">
            <v>49</v>
          </cell>
          <cell r="F98">
            <v>15.586</v>
          </cell>
          <cell r="G98">
            <v>9182</v>
          </cell>
          <cell r="H98">
            <v>9176</v>
          </cell>
          <cell r="I98">
            <v>3602</v>
          </cell>
          <cell r="J98">
            <v>3602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C99">
            <v>38</v>
          </cell>
          <cell r="D99" t="str">
            <v>M</v>
          </cell>
          <cell r="E99">
            <v>49</v>
          </cell>
          <cell r="F99">
            <v>13.831</v>
          </cell>
          <cell r="G99">
            <v>16361</v>
          </cell>
          <cell r="H99">
            <v>75168</v>
          </cell>
          <cell r="I99">
            <v>29472</v>
          </cell>
          <cell r="J99">
            <v>29472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1774</v>
          </cell>
        </row>
        <row r="100">
          <cell r="C100">
            <v>42</v>
          </cell>
          <cell r="D100" t="str">
            <v>F</v>
          </cell>
          <cell r="E100">
            <v>28</v>
          </cell>
          <cell r="F100">
            <v>8.3279999999999994</v>
          </cell>
          <cell r="G100">
            <v>9695</v>
          </cell>
          <cell r="H100">
            <v>9688</v>
          </cell>
          <cell r="I100">
            <v>2641</v>
          </cell>
          <cell r="J100">
            <v>2641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>
            <v>44</v>
          </cell>
          <cell r="D101" t="str">
            <v>M</v>
          </cell>
          <cell r="E101">
            <v>49</v>
          </cell>
          <cell r="F101">
            <v>14.346</v>
          </cell>
          <cell r="G101">
            <v>14771</v>
          </cell>
          <cell r="H101">
            <v>69964</v>
          </cell>
          <cell r="I101">
            <v>27484</v>
          </cell>
          <cell r="J101">
            <v>27484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1605</v>
          </cell>
        </row>
        <row r="102">
          <cell r="C102">
            <v>46</v>
          </cell>
          <cell r="D102" t="str">
            <v>F</v>
          </cell>
          <cell r="E102">
            <v>56</v>
          </cell>
          <cell r="F102">
            <v>28.084</v>
          </cell>
          <cell r="G102">
            <v>16361</v>
          </cell>
          <cell r="H102">
            <v>459496</v>
          </cell>
          <cell r="I102">
            <v>389128</v>
          </cell>
          <cell r="J102">
            <v>389128</v>
          </cell>
          <cell r="K102">
            <v>355037</v>
          </cell>
          <cell r="L102">
            <v>355037</v>
          </cell>
          <cell r="M102">
            <v>0</v>
          </cell>
          <cell r="N102">
            <v>355037</v>
          </cell>
          <cell r="O102">
            <v>355037</v>
          </cell>
          <cell r="P102">
            <v>355037</v>
          </cell>
          <cell r="Q102">
            <v>13699</v>
          </cell>
        </row>
        <row r="103">
          <cell r="C103">
            <v>48</v>
          </cell>
          <cell r="D103" t="str">
            <v>F</v>
          </cell>
          <cell r="E103">
            <v>51</v>
          </cell>
          <cell r="F103">
            <v>26.253</v>
          </cell>
          <cell r="G103">
            <v>16566</v>
          </cell>
          <cell r="H103">
            <v>328553</v>
          </cell>
          <cell r="I103">
            <v>302230</v>
          </cell>
          <cell r="J103">
            <v>302230</v>
          </cell>
          <cell r="K103">
            <v>240000</v>
          </cell>
          <cell r="L103">
            <v>240000</v>
          </cell>
          <cell r="M103">
            <v>0</v>
          </cell>
          <cell r="N103">
            <v>240000</v>
          </cell>
          <cell r="O103">
            <v>240000</v>
          </cell>
          <cell r="P103">
            <v>240000</v>
          </cell>
          <cell r="Q103">
            <v>4215</v>
          </cell>
        </row>
        <row r="104">
          <cell r="C104">
            <v>50</v>
          </cell>
          <cell r="D104" t="str">
            <v>M</v>
          </cell>
          <cell r="E104">
            <v>56</v>
          </cell>
          <cell r="F104">
            <v>8.1750000000000007</v>
          </cell>
          <cell r="G104">
            <v>25591</v>
          </cell>
          <cell r="H104">
            <v>25574</v>
          </cell>
          <cell r="I104">
            <v>18231</v>
          </cell>
          <cell r="J104">
            <v>18231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C105">
            <v>72</v>
          </cell>
          <cell r="D105" t="str">
            <v>F</v>
          </cell>
          <cell r="E105">
            <v>53</v>
          </cell>
          <cell r="F105">
            <v>20.751999999999999</v>
          </cell>
          <cell r="G105">
            <v>35232</v>
          </cell>
          <cell r="H105">
            <v>731159</v>
          </cell>
          <cell r="I105">
            <v>679565</v>
          </cell>
          <cell r="J105">
            <v>679565</v>
          </cell>
          <cell r="K105">
            <v>507195</v>
          </cell>
          <cell r="L105">
            <v>507195</v>
          </cell>
          <cell r="M105">
            <v>0</v>
          </cell>
          <cell r="N105">
            <v>507195</v>
          </cell>
          <cell r="O105">
            <v>507195</v>
          </cell>
          <cell r="P105">
            <v>507195</v>
          </cell>
          <cell r="Q105">
            <v>32350</v>
          </cell>
        </row>
        <row r="106">
          <cell r="C106">
            <v>74</v>
          </cell>
          <cell r="D106" t="str">
            <v>F</v>
          </cell>
          <cell r="E106">
            <v>52</v>
          </cell>
          <cell r="F106">
            <v>19.818999999999999</v>
          </cell>
          <cell r="G106">
            <v>18117</v>
          </cell>
          <cell r="H106">
            <v>359062</v>
          </cell>
          <cell r="I106">
            <v>281765</v>
          </cell>
          <cell r="J106">
            <v>281765</v>
          </cell>
          <cell r="K106">
            <v>253598</v>
          </cell>
          <cell r="L106">
            <v>253598</v>
          </cell>
          <cell r="M106">
            <v>0</v>
          </cell>
          <cell r="N106">
            <v>253598</v>
          </cell>
          <cell r="O106">
            <v>253598</v>
          </cell>
          <cell r="P106">
            <v>253598</v>
          </cell>
          <cell r="Q106">
            <v>14045</v>
          </cell>
        </row>
        <row r="107">
          <cell r="C107">
            <v>76</v>
          </cell>
          <cell r="D107" t="str">
            <v>M</v>
          </cell>
          <cell r="E107">
            <v>51</v>
          </cell>
          <cell r="F107">
            <v>17.981999999999999</v>
          </cell>
          <cell r="G107">
            <v>20135</v>
          </cell>
          <cell r="H107">
            <v>362074</v>
          </cell>
          <cell r="I107">
            <v>261524</v>
          </cell>
          <cell r="J107">
            <v>261524</v>
          </cell>
          <cell r="K107">
            <v>223166</v>
          </cell>
          <cell r="L107">
            <v>223166</v>
          </cell>
          <cell r="M107">
            <v>0</v>
          </cell>
          <cell r="N107">
            <v>223166</v>
          </cell>
          <cell r="O107">
            <v>223166</v>
          </cell>
          <cell r="P107">
            <v>223166</v>
          </cell>
          <cell r="Q107">
            <v>14363</v>
          </cell>
        </row>
        <row r="108">
          <cell r="C108">
            <v>80</v>
          </cell>
          <cell r="D108" t="str">
            <v>F</v>
          </cell>
          <cell r="E108">
            <v>54</v>
          </cell>
          <cell r="F108">
            <v>8.093</v>
          </cell>
          <cell r="G108">
            <v>23335</v>
          </cell>
          <cell r="H108">
            <v>23319</v>
          </cell>
          <cell r="I108">
            <v>12345</v>
          </cell>
          <cell r="J108">
            <v>12345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>
            <v>82</v>
          </cell>
          <cell r="D109" t="str">
            <v>F</v>
          </cell>
          <cell r="E109">
            <v>51</v>
          </cell>
          <cell r="F109">
            <v>9.3740000000000006</v>
          </cell>
          <cell r="G109">
            <v>22514</v>
          </cell>
          <cell r="H109">
            <v>22561</v>
          </cell>
          <cell r="I109">
            <v>13227</v>
          </cell>
          <cell r="J109">
            <v>13227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84</v>
          </cell>
          <cell r="D110" t="str">
            <v>M</v>
          </cell>
          <cell r="E110">
            <v>49</v>
          </cell>
          <cell r="F110">
            <v>9.1769999999999996</v>
          </cell>
          <cell r="G110">
            <v>21694</v>
          </cell>
          <cell r="H110">
            <v>21739</v>
          </cell>
          <cell r="I110">
            <v>8508</v>
          </cell>
          <cell r="J110">
            <v>8508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C111">
            <v>86</v>
          </cell>
          <cell r="D111" t="str">
            <v>F</v>
          </cell>
          <cell r="E111">
            <v>47</v>
          </cell>
          <cell r="F111">
            <v>14.978</v>
          </cell>
          <cell r="G111">
            <v>17526</v>
          </cell>
          <cell r="H111">
            <v>17514</v>
          </cell>
          <cell r="I111">
            <v>8087</v>
          </cell>
          <cell r="J111">
            <v>8087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C112">
            <v>88</v>
          </cell>
          <cell r="D112" t="str">
            <v>F</v>
          </cell>
          <cell r="E112">
            <v>46</v>
          </cell>
          <cell r="F112">
            <v>9.4670000000000005</v>
          </cell>
          <cell r="G112">
            <v>20463</v>
          </cell>
          <cell r="H112">
            <v>107120</v>
          </cell>
          <cell r="I112">
            <v>38153</v>
          </cell>
          <cell r="J112">
            <v>38153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3600</v>
          </cell>
        </row>
        <row r="113">
          <cell r="C113">
            <v>90</v>
          </cell>
          <cell r="D113" t="str">
            <v>F</v>
          </cell>
          <cell r="E113">
            <v>41</v>
          </cell>
          <cell r="F113">
            <v>12.875999999999999</v>
          </cell>
          <cell r="G113">
            <v>20874</v>
          </cell>
          <cell r="H113">
            <v>131156</v>
          </cell>
          <cell r="I113">
            <v>101137</v>
          </cell>
          <cell r="J113">
            <v>101137</v>
          </cell>
          <cell r="K113">
            <v>84000</v>
          </cell>
          <cell r="L113">
            <v>84000</v>
          </cell>
          <cell r="M113">
            <v>0</v>
          </cell>
          <cell r="N113">
            <v>84000</v>
          </cell>
          <cell r="O113">
            <v>84000</v>
          </cell>
          <cell r="P113">
            <v>84000</v>
          </cell>
          <cell r="Q113">
            <v>0</v>
          </cell>
        </row>
        <row r="114">
          <cell r="C114">
            <v>92</v>
          </cell>
          <cell r="D114" t="str">
            <v>M</v>
          </cell>
          <cell r="E114">
            <v>50</v>
          </cell>
          <cell r="F114">
            <v>8.4489999999999998</v>
          </cell>
          <cell r="G114">
            <v>10895</v>
          </cell>
          <cell r="H114">
            <v>10887</v>
          </cell>
          <cell r="I114">
            <v>5775</v>
          </cell>
          <cell r="J114">
            <v>5775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94</v>
          </cell>
          <cell r="D115" t="str">
            <v>F</v>
          </cell>
          <cell r="E115">
            <v>49</v>
          </cell>
          <cell r="F115">
            <v>18.420000000000002</v>
          </cell>
          <cell r="G115">
            <v>12259</v>
          </cell>
          <cell r="H115">
            <v>225808</v>
          </cell>
          <cell r="I115">
            <v>221634</v>
          </cell>
          <cell r="J115">
            <v>221634</v>
          </cell>
          <cell r="K115">
            <v>202878</v>
          </cell>
          <cell r="L115">
            <v>202878</v>
          </cell>
          <cell r="M115">
            <v>0</v>
          </cell>
          <cell r="N115">
            <v>202878</v>
          </cell>
          <cell r="O115">
            <v>202878</v>
          </cell>
          <cell r="P115">
            <v>202878</v>
          </cell>
          <cell r="Q115">
            <v>11887</v>
          </cell>
        </row>
        <row r="116">
          <cell r="C116">
            <v>96</v>
          </cell>
          <cell r="D116" t="str">
            <v>M</v>
          </cell>
          <cell r="E116">
            <v>41</v>
          </cell>
          <cell r="F116">
            <v>8.3439999999999994</v>
          </cell>
          <cell r="G116">
            <v>18412</v>
          </cell>
          <cell r="H116">
            <v>86025</v>
          </cell>
          <cell r="I116">
            <v>26766</v>
          </cell>
          <cell r="J116">
            <v>26766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2830</v>
          </cell>
        </row>
        <row r="117">
          <cell r="C117">
            <v>98</v>
          </cell>
          <cell r="D117" t="str">
            <v>F</v>
          </cell>
          <cell r="E117">
            <v>44</v>
          </cell>
          <cell r="F117">
            <v>17.943000000000001</v>
          </cell>
          <cell r="G117">
            <v>18970</v>
          </cell>
          <cell r="H117">
            <v>340396</v>
          </cell>
          <cell r="I117">
            <v>157007</v>
          </cell>
          <cell r="J117">
            <v>157007</v>
          </cell>
          <cell r="K117">
            <v>71007</v>
          </cell>
          <cell r="L117">
            <v>71007</v>
          </cell>
          <cell r="M117">
            <v>0</v>
          </cell>
          <cell r="N117">
            <v>71007</v>
          </cell>
          <cell r="O117">
            <v>71007</v>
          </cell>
          <cell r="P117">
            <v>71007</v>
          </cell>
          <cell r="Q117">
            <v>8644</v>
          </cell>
        </row>
        <row r="118">
          <cell r="C118">
            <v>100</v>
          </cell>
          <cell r="D118" t="str">
            <v>M</v>
          </cell>
          <cell r="E118">
            <v>62</v>
          </cell>
          <cell r="F118">
            <v>7.9690000000000003</v>
          </cell>
          <cell r="G118">
            <v>35232</v>
          </cell>
          <cell r="H118">
            <v>35208</v>
          </cell>
          <cell r="I118">
            <v>32684</v>
          </cell>
          <cell r="J118">
            <v>32684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>
            <v>102</v>
          </cell>
          <cell r="D119" t="str">
            <v>M</v>
          </cell>
          <cell r="E119">
            <v>38</v>
          </cell>
          <cell r="F119">
            <v>7.8319999999999999</v>
          </cell>
          <cell r="G119">
            <v>17592</v>
          </cell>
          <cell r="H119">
            <v>77688</v>
          </cell>
          <cell r="I119">
            <v>24705</v>
          </cell>
          <cell r="J119">
            <v>24705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2763</v>
          </cell>
        </row>
        <row r="120">
          <cell r="C120">
            <v>104</v>
          </cell>
          <cell r="D120" t="str">
            <v>M</v>
          </cell>
          <cell r="E120">
            <v>36</v>
          </cell>
          <cell r="F120">
            <v>7.5919999999999996</v>
          </cell>
          <cell r="G120">
            <v>11848</v>
          </cell>
          <cell r="H120">
            <v>11840</v>
          </cell>
          <cell r="I120">
            <v>3606</v>
          </cell>
          <cell r="J120">
            <v>3606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C121">
            <v>106</v>
          </cell>
          <cell r="D121" t="str">
            <v>F</v>
          </cell>
          <cell r="E121">
            <v>36</v>
          </cell>
          <cell r="F121">
            <v>8.1669999999999998</v>
          </cell>
          <cell r="G121">
            <v>18412</v>
          </cell>
          <cell r="H121">
            <v>84386</v>
          </cell>
          <cell r="I121">
            <v>24588</v>
          </cell>
          <cell r="J121">
            <v>24588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2651</v>
          </cell>
        </row>
        <row r="122">
          <cell r="C122">
            <v>108</v>
          </cell>
          <cell r="D122" t="str">
            <v>F</v>
          </cell>
          <cell r="E122">
            <v>57</v>
          </cell>
          <cell r="F122">
            <v>14.176</v>
          </cell>
          <cell r="G122">
            <v>22514</v>
          </cell>
          <cell r="H122">
            <v>170839</v>
          </cell>
          <cell r="I122">
            <v>136754</v>
          </cell>
          <cell r="J122">
            <v>136754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8909</v>
          </cell>
        </row>
        <row r="123">
          <cell r="C123">
            <v>110</v>
          </cell>
          <cell r="D123" t="str">
            <v>F</v>
          </cell>
          <cell r="E123">
            <v>55</v>
          </cell>
          <cell r="F123">
            <v>8.0410000000000004</v>
          </cell>
          <cell r="G123">
            <v>24976</v>
          </cell>
          <cell r="H123">
            <v>112896</v>
          </cell>
          <cell r="I123">
            <v>80795</v>
          </cell>
          <cell r="J123">
            <v>80795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8832</v>
          </cell>
        </row>
        <row r="124">
          <cell r="C124">
            <v>112</v>
          </cell>
          <cell r="D124" t="str">
            <v>M</v>
          </cell>
          <cell r="E124">
            <v>51</v>
          </cell>
          <cell r="F124">
            <v>19.058</v>
          </cell>
          <cell r="G124">
            <v>20280</v>
          </cell>
          <cell r="H124">
            <v>386495</v>
          </cell>
          <cell r="I124">
            <v>297048</v>
          </cell>
          <cell r="J124">
            <v>297048</v>
          </cell>
          <cell r="K124">
            <v>273885</v>
          </cell>
          <cell r="L124">
            <v>273885</v>
          </cell>
          <cell r="M124">
            <v>0</v>
          </cell>
          <cell r="N124">
            <v>273885</v>
          </cell>
          <cell r="O124">
            <v>273885</v>
          </cell>
          <cell r="P124">
            <v>273885</v>
          </cell>
          <cell r="Q124">
            <v>15392</v>
          </cell>
        </row>
        <row r="125">
          <cell r="C125">
            <v>116</v>
          </cell>
          <cell r="D125" t="str">
            <v>F</v>
          </cell>
          <cell r="E125">
            <v>51</v>
          </cell>
          <cell r="F125">
            <v>8.9220000000000006</v>
          </cell>
          <cell r="G125">
            <v>23745</v>
          </cell>
          <cell r="H125">
            <v>23794</v>
          </cell>
          <cell r="I125">
            <v>13885</v>
          </cell>
          <cell r="J125">
            <v>13885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C126">
            <v>118</v>
          </cell>
          <cell r="D126" t="str">
            <v>F</v>
          </cell>
          <cell r="E126">
            <v>61</v>
          </cell>
          <cell r="F126">
            <v>17.574000000000002</v>
          </cell>
          <cell r="G126">
            <v>14146</v>
          </cell>
          <cell r="H126">
            <v>248601</v>
          </cell>
          <cell r="I126">
            <v>249792</v>
          </cell>
          <cell r="J126">
            <v>249792</v>
          </cell>
          <cell r="K126">
            <v>159189</v>
          </cell>
          <cell r="L126">
            <v>159189</v>
          </cell>
          <cell r="M126">
            <v>0</v>
          </cell>
          <cell r="N126">
            <v>159189</v>
          </cell>
          <cell r="O126">
            <v>159189</v>
          </cell>
          <cell r="P126">
            <v>159189</v>
          </cell>
          <cell r="Q126">
            <v>14074</v>
          </cell>
        </row>
        <row r="127">
          <cell r="C127">
            <v>120</v>
          </cell>
          <cell r="D127" t="str">
            <v>M</v>
          </cell>
          <cell r="E127">
            <v>50</v>
          </cell>
          <cell r="F127">
            <v>15.726000000000001</v>
          </cell>
          <cell r="G127">
            <v>18412</v>
          </cell>
          <cell r="H127">
            <v>18400</v>
          </cell>
          <cell r="I127">
            <v>9761</v>
          </cell>
          <cell r="J127">
            <v>9761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>
            <v>122</v>
          </cell>
          <cell r="D128" t="str">
            <v>M</v>
          </cell>
          <cell r="E128">
            <v>61</v>
          </cell>
          <cell r="F128">
            <v>21.504999999999999</v>
          </cell>
          <cell r="G128">
            <v>22514</v>
          </cell>
          <cell r="H128">
            <v>484192</v>
          </cell>
          <cell r="I128">
            <v>421972</v>
          </cell>
          <cell r="J128">
            <v>421972</v>
          </cell>
          <cell r="K128">
            <v>332464</v>
          </cell>
          <cell r="L128">
            <v>332464</v>
          </cell>
          <cell r="M128">
            <v>0</v>
          </cell>
          <cell r="N128">
            <v>332464</v>
          </cell>
          <cell r="O128">
            <v>332464</v>
          </cell>
          <cell r="P128">
            <v>332464</v>
          </cell>
          <cell r="Q128">
            <v>19399</v>
          </cell>
        </row>
        <row r="129">
          <cell r="C129">
            <v>124</v>
          </cell>
          <cell r="D129" t="str">
            <v>M</v>
          </cell>
          <cell r="E129">
            <v>40</v>
          </cell>
          <cell r="F129">
            <v>12.01</v>
          </cell>
          <cell r="G129">
            <v>6515</v>
          </cell>
          <cell r="H129">
            <v>6511</v>
          </cell>
          <cell r="I129">
            <v>2203</v>
          </cell>
          <cell r="J129">
            <v>2203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C130">
            <v>126</v>
          </cell>
          <cell r="D130" t="str">
            <v>F</v>
          </cell>
          <cell r="E130">
            <v>59</v>
          </cell>
          <cell r="F130">
            <v>9.8420000000000005</v>
          </cell>
          <cell r="G130">
            <v>7438</v>
          </cell>
          <cell r="H130">
            <v>73214</v>
          </cell>
          <cell r="I130">
            <v>67760</v>
          </cell>
          <cell r="J130">
            <v>67760</v>
          </cell>
          <cell r="K130">
            <v>16864</v>
          </cell>
          <cell r="L130">
            <v>16864</v>
          </cell>
          <cell r="M130">
            <v>0</v>
          </cell>
          <cell r="N130">
            <v>16864</v>
          </cell>
          <cell r="O130">
            <v>16864</v>
          </cell>
          <cell r="P130">
            <v>16864</v>
          </cell>
          <cell r="Q130">
            <v>6809</v>
          </cell>
        </row>
        <row r="131">
          <cell r="C131">
            <v>130</v>
          </cell>
          <cell r="D131" t="str">
            <v>F</v>
          </cell>
          <cell r="E131">
            <v>50</v>
          </cell>
          <cell r="F131">
            <v>10.672000000000001</v>
          </cell>
          <cell r="G131">
            <v>8413</v>
          </cell>
          <cell r="H131">
            <v>89782</v>
          </cell>
          <cell r="I131">
            <v>48430</v>
          </cell>
          <cell r="J131">
            <v>48430</v>
          </cell>
          <cell r="K131">
            <v>20210</v>
          </cell>
          <cell r="L131">
            <v>20210</v>
          </cell>
          <cell r="M131">
            <v>0</v>
          </cell>
          <cell r="N131">
            <v>20210</v>
          </cell>
          <cell r="O131">
            <v>20210</v>
          </cell>
          <cell r="P131">
            <v>20210</v>
          </cell>
          <cell r="Q131">
            <v>4483</v>
          </cell>
        </row>
        <row r="132">
          <cell r="C132">
            <v>132</v>
          </cell>
          <cell r="D132" t="str">
            <v>F</v>
          </cell>
          <cell r="E132">
            <v>38</v>
          </cell>
          <cell r="F132">
            <v>10.672000000000001</v>
          </cell>
          <cell r="G132">
            <v>7951</v>
          </cell>
          <cell r="H132">
            <v>84857</v>
          </cell>
          <cell r="I132">
            <v>38150</v>
          </cell>
          <cell r="J132">
            <v>38150</v>
          </cell>
          <cell r="K132">
            <v>19061</v>
          </cell>
          <cell r="L132">
            <v>19061</v>
          </cell>
          <cell r="M132">
            <v>0</v>
          </cell>
          <cell r="N132">
            <v>19061</v>
          </cell>
          <cell r="O132">
            <v>19061</v>
          </cell>
          <cell r="P132">
            <v>19061</v>
          </cell>
          <cell r="Q132">
            <v>3531</v>
          </cell>
        </row>
        <row r="133">
          <cell r="C133">
            <v>134</v>
          </cell>
          <cell r="D133" t="str">
            <v>F</v>
          </cell>
          <cell r="E133">
            <v>49</v>
          </cell>
          <cell r="F133">
            <v>10.672000000000001</v>
          </cell>
          <cell r="G133">
            <v>7951</v>
          </cell>
          <cell r="H133">
            <v>84857</v>
          </cell>
          <cell r="I133">
            <v>57419</v>
          </cell>
          <cell r="J133">
            <v>57419</v>
          </cell>
          <cell r="K133">
            <v>25612</v>
          </cell>
          <cell r="L133">
            <v>25612</v>
          </cell>
          <cell r="M133">
            <v>0</v>
          </cell>
          <cell r="N133">
            <v>25612</v>
          </cell>
          <cell r="O133">
            <v>25612</v>
          </cell>
          <cell r="P133">
            <v>25612</v>
          </cell>
          <cell r="Q133">
            <v>5315</v>
          </cell>
        </row>
        <row r="134">
          <cell r="C134">
            <v>136</v>
          </cell>
          <cell r="D134" t="str">
            <v>F</v>
          </cell>
          <cell r="E134">
            <v>45</v>
          </cell>
          <cell r="F134">
            <v>10.672000000000001</v>
          </cell>
          <cell r="G134">
            <v>8259</v>
          </cell>
          <cell r="H134">
            <v>88140</v>
          </cell>
          <cell r="I134">
            <v>48071</v>
          </cell>
          <cell r="J134">
            <v>48071</v>
          </cell>
          <cell r="K134">
            <v>18866</v>
          </cell>
          <cell r="L134">
            <v>18866</v>
          </cell>
          <cell r="M134">
            <v>0</v>
          </cell>
          <cell r="N134">
            <v>18866</v>
          </cell>
          <cell r="O134">
            <v>18866</v>
          </cell>
          <cell r="P134">
            <v>18866</v>
          </cell>
          <cell r="Q134">
            <v>4450</v>
          </cell>
        </row>
        <row r="135">
          <cell r="C135">
            <v>138</v>
          </cell>
          <cell r="D135" t="str">
            <v>M</v>
          </cell>
          <cell r="E135">
            <v>54</v>
          </cell>
          <cell r="F135">
            <v>8.8480000000000008</v>
          </cell>
          <cell r="G135">
            <v>24053</v>
          </cell>
          <cell r="H135">
            <v>24102</v>
          </cell>
          <cell r="I135">
            <v>15494</v>
          </cell>
          <cell r="J135">
            <v>15494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C136">
            <v>140</v>
          </cell>
          <cell r="D136" t="str">
            <v>F</v>
          </cell>
          <cell r="E136">
            <v>47</v>
          </cell>
          <cell r="F136">
            <v>7.8630000000000004</v>
          </cell>
          <cell r="G136">
            <v>8361</v>
          </cell>
          <cell r="H136">
            <v>65747</v>
          </cell>
          <cell r="I136">
            <v>36393</v>
          </cell>
          <cell r="J136">
            <v>36393</v>
          </cell>
          <cell r="K136">
            <v>10661</v>
          </cell>
          <cell r="L136">
            <v>10661</v>
          </cell>
          <cell r="M136">
            <v>0</v>
          </cell>
          <cell r="N136">
            <v>10661</v>
          </cell>
          <cell r="O136">
            <v>10661</v>
          </cell>
          <cell r="P136">
            <v>10661</v>
          </cell>
          <cell r="Q136">
            <v>4572</v>
          </cell>
        </row>
        <row r="137">
          <cell r="C137">
            <v>142</v>
          </cell>
          <cell r="D137" t="str">
            <v>M</v>
          </cell>
          <cell r="E137">
            <v>54</v>
          </cell>
          <cell r="F137">
            <v>8.3689999999999998</v>
          </cell>
          <cell r="G137">
            <v>11233</v>
          </cell>
          <cell r="H137">
            <v>94017</v>
          </cell>
          <cell r="I137">
            <v>65109</v>
          </cell>
          <cell r="J137">
            <v>65109</v>
          </cell>
          <cell r="K137">
            <v>11999</v>
          </cell>
          <cell r="L137">
            <v>11999</v>
          </cell>
          <cell r="M137">
            <v>0</v>
          </cell>
          <cell r="N137">
            <v>11999</v>
          </cell>
          <cell r="O137">
            <v>11999</v>
          </cell>
          <cell r="P137">
            <v>11999</v>
          </cell>
          <cell r="Q137">
            <v>7685</v>
          </cell>
        </row>
        <row r="138">
          <cell r="C138">
            <v>144</v>
          </cell>
          <cell r="D138" t="str">
            <v>M</v>
          </cell>
          <cell r="E138">
            <v>41</v>
          </cell>
          <cell r="F138">
            <v>8.5030000000000001</v>
          </cell>
          <cell r="G138">
            <v>25555</v>
          </cell>
          <cell r="H138">
            <v>25538</v>
          </cell>
          <cell r="I138">
            <v>7947</v>
          </cell>
          <cell r="J138">
            <v>7947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C139">
            <v>146</v>
          </cell>
          <cell r="D139" t="str">
            <v>F</v>
          </cell>
          <cell r="E139">
            <v>32</v>
          </cell>
          <cell r="F139">
            <v>8.1120000000000001</v>
          </cell>
          <cell r="G139">
            <v>11489</v>
          </cell>
          <cell r="H139">
            <v>93206</v>
          </cell>
          <cell r="I139">
            <v>34312</v>
          </cell>
          <cell r="J139">
            <v>34312</v>
          </cell>
          <cell r="K139">
            <v>11130</v>
          </cell>
          <cell r="L139">
            <v>11130</v>
          </cell>
          <cell r="M139">
            <v>0</v>
          </cell>
          <cell r="N139">
            <v>11130</v>
          </cell>
          <cell r="O139">
            <v>11130</v>
          </cell>
          <cell r="P139">
            <v>11130</v>
          </cell>
          <cell r="Q139">
            <v>4180</v>
          </cell>
        </row>
        <row r="140">
          <cell r="C140">
            <v>148</v>
          </cell>
          <cell r="D140" t="str">
            <v>M</v>
          </cell>
          <cell r="E140">
            <v>45</v>
          </cell>
          <cell r="F140">
            <v>8.2319999999999993</v>
          </cell>
          <cell r="G140">
            <v>10208</v>
          </cell>
          <cell r="H140">
            <v>84036</v>
          </cell>
          <cell r="I140">
            <v>34714</v>
          </cell>
          <cell r="J140">
            <v>34714</v>
          </cell>
          <cell r="K140">
            <v>10505</v>
          </cell>
          <cell r="L140">
            <v>10505</v>
          </cell>
          <cell r="M140">
            <v>0</v>
          </cell>
          <cell r="N140">
            <v>10505</v>
          </cell>
          <cell r="O140">
            <v>10505</v>
          </cell>
          <cell r="P140">
            <v>10505</v>
          </cell>
          <cell r="Q140">
            <v>4164</v>
          </cell>
        </row>
        <row r="141">
          <cell r="C141">
            <v>150</v>
          </cell>
          <cell r="D141" t="str">
            <v>F</v>
          </cell>
          <cell r="E141">
            <v>30</v>
          </cell>
          <cell r="F141">
            <v>8.1310000000000002</v>
          </cell>
          <cell r="G141">
            <v>7746</v>
          </cell>
          <cell r="H141">
            <v>62987</v>
          </cell>
          <cell r="I141">
            <v>22525</v>
          </cell>
          <cell r="J141">
            <v>22525</v>
          </cell>
          <cell r="K141">
            <v>6719</v>
          </cell>
          <cell r="L141">
            <v>6719</v>
          </cell>
          <cell r="M141">
            <v>0</v>
          </cell>
          <cell r="N141">
            <v>6719</v>
          </cell>
          <cell r="O141">
            <v>6719</v>
          </cell>
          <cell r="P141">
            <v>6719</v>
          </cell>
          <cell r="Q141">
            <v>2738</v>
          </cell>
        </row>
        <row r="142">
          <cell r="C142" t="str">
            <v>All</v>
          </cell>
          <cell r="G142">
            <v>1022200</v>
          </cell>
          <cell r="H142">
            <v>8286979</v>
          </cell>
          <cell r="I142">
            <v>6153573</v>
          </cell>
          <cell r="J142">
            <v>6177180</v>
          </cell>
          <cell r="K142">
            <v>4091861</v>
          </cell>
          <cell r="L142">
            <v>4091861</v>
          </cell>
          <cell r="M142">
            <v>0</v>
          </cell>
          <cell r="N142">
            <v>4091861</v>
          </cell>
          <cell r="O142">
            <v>4091861</v>
          </cell>
          <cell r="P142">
            <v>4091861</v>
          </cell>
          <cell r="Q142">
            <v>297699</v>
          </cell>
        </row>
        <row r="145">
          <cell r="I145">
            <v>11387170</v>
          </cell>
          <cell r="J145">
            <v>11461139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1">
          <cell r="C21" t="str">
            <v>Unique Identity Number</v>
          </cell>
          <cell r="D21" t="str">
            <v>Gender</v>
          </cell>
          <cell r="E21" t="str">
            <v>Age</v>
          </cell>
          <cell r="F21" t="str">
            <v>Seniority in Yrs</v>
          </cell>
          <cell r="G21">
            <v>7425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>
            <v>1</v>
          </cell>
          <cell r="D22" t="str">
            <v>M</v>
          </cell>
          <cell r="E22">
            <v>35</v>
          </cell>
          <cell r="F22">
            <v>10.647</v>
          </cell>
        </row>
        <row r="23">
          <cell r="C23">
            <v>7</v>
          </cell>
          <cell r="D23" t="str">
            <v>F</v>
          </cell>
          <cell r="E23">
            <v>52</v>
          </cell>
          <cell r="F23">
            <v>6.5810000000000004</v>
          </cell>
          <cell r="G23">
            <v>26176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>
            <v>9</v>
          </cell>
          <cell r="D24" t="str">
            <v>F</v>
          </cell>
          <cell r="E24">
            <v>48</v>
          </cell>
          <cell r="F24">
            <v>7.6740000000000004</v>
          </cell>
          <cell r="G24">
            <v>11588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11</v>
          </cell>
          <cell r="D25" t="str">
            <v>M</v>
          </cell>
          <cell r="E25">
            <v>47</v>
          </cell>
          <cell r="F25">
            <v>21.916</v>
          </cell>
          <cell r="G25">
            <v>25425</v>
          </cell>
          <cell r="H25">
            <v>557227</v>
          </cell>
          <cell r="I25">
            <v>417371</v>
          </cell>
          <cell r="J25">
            <v>417371</v>
          </cell>
          <cell r="K25">
            <v>342000</v>
          </cell>
          <cell r="L25">
            <v>342000</v>
          </cell>
          <cell r="M25">
            <v>0</v>
          </cell>
          <cell r="N25">
            <v>342000</v>
          </cell>
          <cell r="O25">
            <v>342000</v>
          </cell>
          <cell r="P25">
            <v>342000</v>
          </cell>
          <cell r="Q25">
            <v>18807</v>
          </cell>
        </row>
        <row r="26">
          <cell r="C26">
            <v>13</v>
          </cell>
          <cell r="D26" t="str">
            <v>M</v>
          </cell>
          <cell r="E26">
            <v>47</v>
          </cell>
          <cell r="F26">
            <v>24.056999999999999</v>
          </cell>
          <cell r="G26">
            <v>27113</v>
          </cell>
          <cell r="H26">
            <v>451393</v>
          </cell>
          <cell r="I26">
            <v>313681</v>
          </cell>
          <cell r="J26">
            <v>313681</v>
          </cell>
          <cell r="K26">
            <v>225000</v>
          </cell>
          <cell r="L26">
            <v>225000</v>
          </cell>
          <cell r="M26">
            <v>0</v>
          </cell>
          <cell r="N26">
            <v>225000</v>
          </cell>
          <cell r="O26">
            <v>225000</v>
          </cell>
          <cell r="P26">
            <v>225000</v>
          </cell>
          <cell r="Q26">
            <v>0</v>
          </cell>
        </row>
        <row r="27">
          <cell r="C27">
            <v>15</v>
          </cell>
          <cell r="D27" t="str">
            <v>M</v>
          </cell>
          <cell r="E27">
            <v>50</v>
          </cell>
          <cell r="F27">
            <v>12.974</v>
          </cell>
          <cell r="G27">
            <v>36000</v>
          </cell>
          <cell r="H27">
            <v>130785</v>
          </cell>
          <cell r="I27">
            <v>70137</v>
          </cell>
          <cell r="J27">
            <v>70137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5337</v>
          </cell>
        </row>
        <row r="28">
          <cell r="C28">
            <v>17</v>
          </cell>
          <cell r="D28" t="str">
            <v>F</v>
          </cell>
          <cell r="E28">
            <v>50</v>
          </cell>
          <cell r="F28">
            <v>18.039000000000001</v>
          </cell>
          <cell r="G28">
            <v>19238</v>
          </cell>
          <cell r="H28">
            <v>260425</v>
          </cell>
          <cell r="I28">
            <v>146637</v>
          </cell>
          <cell r="J28">
            <v>146637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2995</v>
          </cell>
        </row>
        <row r="29">
          <cell r="C29">
            <v>19</v>
          </cell>
          <cell r="D29" t="str">
            <v>M</v>
          </cell>
          <cell r="E29">
            <v>49</v>
          </cell>
          <cell r="F29">
            <v>7.2549999999999999</v>
          </cell>
          <cell r="G29">
            <v>23738</v>
          </cell>
          <cell r="H29">
            <v>9878</v>
          </cell>
          <cell r="I29">
            <v>14723</v>
          </cell>
          <cell r="J29">
            <v>23000</v>
          </cell>
          <cell r="K29">
            <v>23000</v>
          </cell>
          <cell r="L29">
            <v>23000</v>
          </cell>
          <cell r="M29">
            <v>0</v>
          </cell>
          <cell r="N29">
            <v>23000</v>
          </cell>
          <cell r="O29">
            <v>23000</v>
          </cell>
          <cell r="P29">
            <v>23000</v>
          </cell>
          <cell r="Q29">
            <v>0</v>
          </cell>
        </row>
        <row r="30">
          <cell r="C30">
            <v>21</v>
          </cell>
          <cell r="D30" t="str">
            <v>M</v>
          </cell>
          <cell r="E30">
            <v>48</v>
          </cell>
          <cell r="F30">
            <v>23.088000000000001</v>
          </cell>
          <cell r="G30">
            <v>22050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25</v>
          </cell>
          <cell r="D31" t="str">
            <v>M</v>
          </cell>
          <cell r="E31">
            <v>46</v>
          </cell>
          <cell r="F31">
            <v>13.259</v>
          </cell>
          <cell r="G31">
            <v>9113</v>
          </cell>
          <cell r="H31">
            <v>62347</v>
          </cell>
          <cell r="I31">
            <v>27327</v>
          </cell>
          <cell r="J31">
            <v>27327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27</v>
          </cell>
          <cell r="D32" t="str">
            <v>M</v>
          </cell>
          <cell r="E32">
            <v>44</v>
          </cell>
          <cell r="F32">
            <v>18.039000000000001</v>
          </cell>
          <cell r="G32">
            <v>11925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C33">
            <v>31</v>
          </cell>
          <cell r="D33" t="str">
            <v>F</v>
          </cell>
          <cell r="E33">
            <v>35</v>
          </cell>
          <cell r="F33">
            <v>7.931</v>
          </cell>
          <cell r="G33">
            <v>7665</v>
          </cell>
          <cell r="H33">
            <v>3861</v>
          </cell>
          <cell r="I33">
            <v>1735</v>
          </cell>
          <cell r="J33">
            <v>1735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33</v>
          </cell>
          <cell r="D34" t="str">
            <v>F</v>
          </cell>
          <cell r="E34">
            <v>34</v>
          </cell>
          <cell r="F34">
            <v>17.004000000000001</v>
          </cell>
          <cell r="G34">
            <v>7059</v>
          </cell>
          <cell r="H34">
            <v>120043</v>
          </cell>
          <cell r="I34">
            <v>91950</v>
          </cell>
          <cell r="J34">
            <v>91950</v>
          </cell>
          <cell r="K34">
            <v>72000</v>
          </cell>
          <cell r="L34">
            <v>72000</v>
          </cell>
          <cell r="M34">
            <v>0</v>
          </cell>
          <cell r="N34">
            <v>72000</v>
          </cell>
          <cell r="O34">
            <v>72000</v>
          </cell>
          <cell r="P34">
            <v>72000</v>
          </cell>
          <cell r="Q34">
            <v>5344</v>
          </cell>
        </row>
        <row r="35">
          <cell r="C35">
            <v>37</v>
          </cell>
          <cell r="D35" t="str">
            <v>M</v>
          </cell>
          <cell r="E35">
            <v>44</v>
          </cell>
          <cell r="F35">
            <v>17.754000000000001</v>
          </cell>
          <cell r="G35">
            <v>18113</v>
          </cell>
          <cell r="H35">
            <v>166075</v>
          </cell>
          <cell r="I35">
            <v>140026</v>
          </cell>
          <cell r="J35">
            <v>140026</v>
          </cell>
          <cell r="K35">
            <v>135000</v>
          </cell>
          <cell r="L35">
            <v>135000</v>
          </cell>
          <cell r="M35">
            <v>0</v>
          </cell>
          <cell r="N35">
            <v>135000</v>
          </cell>
          <cell r="O35">
            <v>135000</v>
          </cell>
          <cell r="P35">
            <v>135000</v>
          </cell>
          <cell r="Q35">
            <v>0</v>
          </cell>
        </row>
        <row r="36">
          <cell r="C36">
            <v>39</v>
          </cell>
          <cell r="D36" t="str">
            <v>M</v>
          </cell>
          <cell r="E36">
            <v>36</v>
          </cell>
          <cell r="F36">
            <v>11.515000000000001</v>
          </cell>
          <cell r="G36">
            <v>10238</v>
          </cell>
          <cell r="H36">
            <v>28</v>
          </cell>
          <cell r="I36">
            <v>12</v>
          </cell>
          <cell r="J36">
            <v>12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41</v>
          </cell>
          <cell r="D37" t="str">
            <v>F</v>
          </cell>
          <cell r="E37">
            <v>61</v>
          </cell>
          <cell r="F37">
            <v>22.838999999999999</v>
          </cell>
          <cell r="G37">
            <v>12825</v>
          </cell>
          <cell r="H37">
            <v>113274</v>
          </cell>
          <cell r="I37">
            <v>107249</v>
          </cell>
          <cell r="J37">
            <v>107249</v>
          </cell>
          <cell r="K37">
            <v>72000</v>
          </cell>
          <cell r="L37">
            <v>72000</v>
          </cell>
          <cell r="M37">
            <v>0</v>
          </cell>
          <cell r="N37">
            <v>72000</v>
          </cell>
          <cell r="O37">
            <v>72000</v>
          </cell>
          <cell r="P37">
            <v>72000</v>
          </cell>
          <cell r="Q37">
            <v>0</v>
          </cell>
        </row>
        <row r="38">
          <cell r="C38">
            <v>43</v>
          </cell>
          <cell r="D38" t="str">
            <v>F</v>
          </cell>
          <cell r="E38">
            <v>39</v>
          </cell>
          <cell r="F38">
            <v>6.4909999999999997</v>
          </cell>
          <cell r="G38">
            <v>13050</v>
          </cell>
          <cell r="H38">
            <v>36</v>
          </cell>
          <cell r="I38">
            <v>14</v>
          </cell>
          <cell r="J38">
            <v>14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>
            <v>45</v>
          </cell>
          <cell r="D39" t="str">
            <v>F</v>
          </cell>
          <cell r="E39">
            <v>29</v>
          </cell>
          <cell r="F39">
            <v>7.4080000000000004</v>
          </cell>
          <cell r="G39">
            <v>7144</v>
          </cell>
          <cell r="H39">
            <v>14819</v>
          </cell>
          <cell r="I39">
            <v>7071</v>
          </cell>
          <cell r="J39">
            <v>7071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944</v>
          </cell>
        </row>
        <row r="40">
          <cell r="C40">
            <v>47</v>
          </cell>
          <cell r="D40" t="str">
            <v>F</v>
          </cell>
          <cell r="E40">
            <v>62</v>
          </cell>
          <cell r="F40">
            <v>10.444000000000001</v>
          </cell>
          <cell r="G40">
            <v>9675</v>
          </cell>
          <cell r="H40">
            <v>28314</v>
          </cell>
          <cell r="I40">
            <v>26502</v>
          </cell>
          <cell r="J40">
            <v>26502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2513</v>
          </cell>
        </row>
        <row r="41">
          <cell r="C41">
            <v>71</v>
          </cell>
          <cell r="D41" t="str">
            <v>M</v>
          </cell>
          <cell r="E41">
            <v>50</v>
          </cell>
          <cell r="F41">
            <v>6.8390000000000004</v>
          </cell>
          <cell r="G41">
            <v>25425</v>
          </cell>
          <cell r="H41">
            <v>48688</v>
          </cell>
          <cell r="I41">
            <v>26016</v>
          </cell>
          <cell r="J41">
            <v>26016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3757</v>
          </cell>
        </row>
        <row r="42">
          <cell r="C42">
            <v>73</v>
          </cell>
          <cell r="D42" t="str">
            <v>F</v>
          </cell>
          <cell r="E42">
            <v>47</v>
          </cell>
          <cell r="F42">
            <v>23.123000000000001</v>
          </cell>
          <cell r="G42">
            <v>14400</v>
          </cell>
          <cell r="H42">
            <v>130103</v>
          </cell>
          <cell r="I42">
            <v>111816</v>
          </cell>
          <cell r="J42">
            <v>111816</v>
          </cell>
          <cell r="K42">
            <v>108000</v>
          </cell>
          <cell r="L42">
            <v>108000</v>
          </cell>
          <cell r="M42">
            <v>0</v>
          </cell>
          <cell r="N42">
            <v>108000</v>
          </cell>
          <cell r="O42">
            <v>108000</v>
          </cell>
          <cell r="P42">
            <v>108000</v>
          </cell>
          <cell r="Q42">
            <v>0</v>
          </cell>
        </row>
        <row r="43">
          <cell r="C43">
            <v>75</v>
          </cell>
          <cell r="D43" t="str">
            <v>F</v>
          </cell>
          <cell r="E43">
            <v>47</v>
          </cell>
          <cell r="F43">
            <v>17.800999999999998</v>
          </cell>
          <cell r="G43">
            <v>15998</v>
          </cell>
          <cell r="H43">
            <v>284780</v>
          </cell>
          <cell r="I43">
            <v>218726</v>
          </cell>
          <cell r="J43">
            <v>218726</v>
          </cell>
          <cell r="K43">
            <v>180000</v>
          </cell>
          <cell r="L43">
            <v>180000</v>
          </cell>
          <cell r="M43">
            <v>0</v>
          </cell>
          <cell r="N43">
            <v>180000</v>
          </cell>
          <cell r="O43">
            <v>180000</v>
          </cell>
          <cell r="P43">
            <v>180000</v>
          </cell>
          <cell r="Q43">
            <v>12134</v>
          </cell>
        </row>
        <row r="44">
          <cell r="C44">
            <v>77</v>
          </cell>
          <cell r="D44" t="str">
            <v>F</v>
          </cell>
          <cell r="E44">
            <v>46</v>
          </cell>
          <cell r="F44">
            <v>6.173</v>
          </cell>
          <cell r="G44">
            <v>15390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79</v>
          </cell>
          <cell r="D45" t="str">
            <v>F</v>
          </cell>
          <cell r="E45">
            <v>49</v>
          </cell>
          <cell r="F45">
            <v>6.8</v>
          </cell>
          <cell r="G45">
            <v>12150</v>
          </cell>
          <cell r="H45">
            <v>23136</v>
          </cell>
          <cell r="I45">
            <v>12202</v>
          </cell>
          <cell r="J45">
            <v>12202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1772</v>
          </cell>
        </row>
        <row r="46">
          <cell r="C46">
            <v>81</v>
          </cell>
          <cell r="D46" t="str">
            <v>F</v>
          </cell>
          <cell r="E46">
            <v>45</v>
          </cell>
          <cell r="F46">
            <v>19.536999999999999</v>
          </cell>
          <cell r="G46">
            <v>14973</v>
          </cell>
          <cell r="H46">
            <v>205367</v>
          </cell>
          <cell r="I46">
            <v>165506</v>
          </cell>
          <cell r="J46">
            <v>165506</v>
          </cell>
          <cell r="K46">
            <v>150000</v>
          </cell>
          <cell r="L46">
            <v>150000</v>
          </cell>
          <cell r="M46">
            <v>0</v>
          </cell>
          <cell r="N46">
            <v>150000</v>
          </cell>
          <cell r="O46">
            <v>150000</v>
          </cell>
          <cell r="P46">
            <v>150000</v>
          </cell>
          <cell r="Q46">
            <v>3338</v>
          </cell>
        </row>
        <row r="47">
          <cell r="C47">
            <v>85</v>
          </cell>
          <cell r="D47" t="str">
            <v>F</v>
          </cell>
          <cell r="E47">
            <v>43</v>
          </cell>
          <cell r="F47">
            <v>15.875999999999999</v>
          </cell>
          <cell r="G47">
            <v>8550</v>
          </cell>
          <cell r="H47">
            <v>39273</v>
          </cell>
          <cell r="I47">
            <v>16948</v>
          </cell>
          <cell r="J47">
            <v>16948</v>
          </cell>
          <cell r="K47">
            <v>1800</v>
          </cell>
          <cell r="L47">
            <v>1800</v>
          </cell>
          <cell r="M47">
            <v>0</v>
          </cell>
          <cell r="N47">
            <v>1800</v>
          </cell>
          <cell r="O47">
            <v>1800</v>
          </cell>
          <cell r="P47">
            <v>1800</v>
          </cell>
          <cell r="Q47">
            <v>1021</v>
          </cell>
        </row>
        <row r="48">
          <cell r="C48">
            <v>87</v>
          </cell>
          <cell r="D48" t="str">
            <v>M</v>
          </cell>
          <cell r="E48">
            <v>42</v>
          </cell>
          <cell r="F48">
            <v>13.144</v>
          </cell>
          <cell r="G48">
            <v>69525</v>
          </cell>
          <cell r="H48">
            <v>456933</v>
          </cell>
          <cell r="I48">
            <v>177479</v>
          </cell>
          <cell r="J48">
            <v>177479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13339</v>
          </cell>
        </row>
        <row r="49">
          <cell r="C49">
            <v>91</v>
          </cell>
          <cell r="D49" t="str">
            <v>F</v>
          </cell>
          <cell r="E49">
            <v>35</v>
          </cell>
          <cell r="F49">
            <v>13.464</v>
          </cell>
          <cell r="G49">
            <v>9810</v>
          </cell>
          <cell r="H49">
            <v>132089</v>
          </cell>
          <cell r="I49">
            <v>95856</v>
          </cell>
          <cell r="J49">
            <v>95856</v>
          </cell>
          <cell r="K49">
            <v>70000</v>
          </cell>
          <cell r="L49">
            <v>70000</v>
          </cell>
          <cell r="M49">
            <v>0</v>
          </cell>
          <cell r="N49">
            <v>70000</v>
          </cell>
          <cell r="O49">
            <v>70000</v>
          </cell>
          <cell r="P49">
            <v>70000</v>
          </cell>
          <cell r="Q49">
            <v>7036</v>
          </cell>
        </row>
        <row r="50">
          <cell r="C50">
            <v>93</v>
          </cell>
          <cell r="D50" t="str">
            <v>F</v>
          </cell>
          <cell r="E50">
            <v>44</v>
          </cell>
          <cell r="F50">
            <v>8.0050000000000008</v>
          </cell>
          <cell r="G50">
            <v>7790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>
            <v>95</v>
          </cell>
          <cell r="D51" t="str">
            <v>F</v>
          </cell>
          <cell r="E51">
            <v>37</v>
          </cell>
          <cell r="F51">
            <v>6.25</v>
          </cell>
          <cell r="G51">
            <v>12600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C52">
            <v>97</v>
          </cell>
          <cell r="D52" t="str">
            <v>M</v>
          </cell>
          <cell r="E52">
            <v>37</v>
          </cell>
          <cell r="F52">
            <v>7.5289999999999999</v>
          </cell>
          <cell r="G52">
            <v>13320</v>
          </cell>
          <cell r="H52">
            <v>50162</v>
          </cell>
          <cell r="I52">
            <v>21415</v>
          </cell>
          <cell r="J52">
            <v>21415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2810</v>
          </cell>
        </row>
        <row r="53">
          <cell r="C53">
            <v>99</v>
          </cell>
          <cell r="D53" t="str">
            <v>F</v>
          </cell>
          <cell r="E53">
            <v>57</v>
          </cell>
          <cell r="F53">
            <v>18.379000000000001</v>
          </cell>
          <cell r="G53">
            <v>22118</v>
          </cell>
          <cell r="H53">
            <v>406502</v>
          </cell>
          <cell r="I53">
            <v>368341</v>
          </cell>
          <cell r="J53">
            <v>368341</v>
          </cell>
          <cell r="K53">
            <v>300000</v>
          </cell>
          <cell r="L53">
            <v>300000</v>
          </cell>
          <cell r="M53">
            <v>0</v>
          </cell>
          <cell r="N53">
            <v>300000</v>
          </cell>
          <cell r="O53">
            <v>300000</v>
          </cell>
          <cell r="P53">
            <v>300000</v>
          </cell>
          <cell r="Q53">
            <v>19814</v>
          </cell>
        </row>
        <row r="54">
          <cell r="C54">
            <v>101</v>
          </cell>
          <cell r="D54" t="str">
            <v>F</v>
          </cell>
          <cell r="E54">
            <v>38</v>
          </cell>
          <cell r="F54">
            <v>16.821000000000002</v>
          </cell>
          <cell r="G54">
            <v>24863</v>
          </cell>
          <cell r="H54">
            <v>76102</v>
          </cell>
          <cell r="I54">
            <v>58993</v>
          </cell>
          <cell r="J54">
            <v>58993</v>
          </cell>
          <cell r="K54">
            <v>50000</v>
          </cell>
          <cell r="L54">
            <v>50000</v>
          </cell>
          <cell r="M54">
            <v>0</v>
          </cell>
          <cell r="N54">
            <v>50000</v>
          </cell>
          <cell r="O54">
            <v>50000</v>
          </cell>
          <cell r="P54">
            <v>50000</v>
          </cell>
          <cell r="Q54">
            <v>0</v>
          </cell>
        </row>
        <row r="55">
          <cell r="C55">
            <v>103</v>
          </cell>
          <cell r="D55" t="str">
            <v>M</v>
          </cell>
          <cell r="E55">
            <v>32</v>
          </cell>
          <cell r="F55">
            <v>6.8719999999999999</v>
          </cell>
          <cell r="G55">
            <v>21319</v>
          </cell>
          <cell r="H55">
            <v>73280</v>
          </cell>
          <cell r="I55">
            <v>34059</v>
          </cell>
          <cell r="J55">
            <v>34059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4898</v>
          </cell>
        </row>
        <row r="56">
          <cell r="C56">
            <v>105</v>
          </cell>
          <cell r="D56" t="str">
            <v>M</v>
          </cell>
          <cell r="E56">
            <v>31</v>
          </cell>
          <cell r="F56">
            <v>7.3209999999999997</v>
          </cell>
          <cell r="G56">
            <v>12459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107</v>
          </cell>
          <cell r="D57" t="str">
            <v>M</v>
          </cell>
          <cell r="E57">
            <v>29</v>
          </cell>
          <cell r="F57">
            <v>7.548</v>
          </cell>
          <cell r="G57">
            <v>19800</v>
          </cell>
          <cell r="H57">
            <v>74755</v>
          </cell>
          <cell r="I57">
            <v>35648</v>
          </cell>
          <cell r="J57">
            <v>35648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4667</v>
          </cell>
        </row>
        <row r="58">
          <cell r="C58">
            <v>109</v>
          </cell>
          <cell r="D58" t="str">
            <v>M</v>
          </cell>
          <cell r="E58">
            <v>42</v>
          </cell>
          <cell r="F58">
            <v>6.8520000000000003</v>
          </cell>
          <cell r="G58">
            <v>19631</v>
          </cell>
          <cell r="H58">
            <v>67292</v>
          </cell>
          <cell r="I58">
            <v>26117</v>
          </cell>
          <cell r="J58">
            <v>26117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3764</v>
          </cell>
        </row>
        <row r="59">
          <cell r="C59">
            <v>111</v>
          </cell>
          <cell r="D59" t="str">
            <v>F</v>
          </cell>
          <cell r="E59">
            <v>55</v>
          </cell>
          <cell r="F59">
            <v>20.585000000000001</v>
          </cell>
          <cell r="G59">
            <v>22500</v>
          </cell>
          <cell r="H59">
            <v>463183</v>
          </cell>
          <cell r="I59">
            <v>424152</v>
          </cell>
          <cell r="J59">
            <v>424152</v>
          </cell>
          <cell r="K59">
            <v>400000</v>
          </cell>
          <cell r="L59">
            <v>400000</v>
          </cell>
          <cell r="M59">
            <v>0</v>
          </cell>
          <cell r="N59">
            <v>400000</v>
          </cell>
          <cell r="O59">
            <v>400000</v>
          </cell>
          <cell r="P59">
            <v>400000</v>
          </cell>
          <cell r="Q59">
            <v>20363</v>
          </cell>
        </row>
        <row r="60">
          <cell r="C60">
            <v>113</v>
          </cell>
          <cell r="D60" t="str">
            <v>M</v>
          </cell>
          <cell r="E60">
            <v>31</v>
          </cell>
          <cell r="F60">
            <v>7.3860000000000001</v>
          </cell>
          <cell r="G60">
            <v>19350</v>
          </cell>
          <cell r="H60">
            <v>71467</v>
          </cell>
          <cell r="I60">
            <v>33473</v>
          </cell>
          <cell r="J60">
            <v>33473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4480</v>
          </cell>
        </row>
        <row r="61">
          <cell r="C61">
            <v>115</v>
          </cell>
          <cell r="D61" t="str">
            <v>F</v>
          </cell>
          <cell r="E61">
            <v>59</v>
          </cell>
          <cell r="F61">
            <v>20.056999999999999</v>
          </cell>
          <cell r="G61">
            <v>13613</v>
          </cell>
          <cell r="H61">
            <v>273033</v>
          </cell>
          <cell r="I61">
            <v>244933</v>
          </cell>
          <cell r="J61">
            <v>244933</v>
          </cell>
          <cell r="K61">
            <v>130000</v>
          </cell>
          <cell r="L61">
            <v>130000</v>
          </cell>
          <cell r="M61">
            <v>0</v>
          </cell>
          <cell r="N61">
            <v>130000</v>
          </cell>
          <cell r="O61">
            <v>130000</v>
          </cell>
          <cell r="P61">
            <v>130000</v>
          </cell>
          <cell r="Q61">
            <v>12079</v>
          </cell>
        </row>
        <row r="62">
          <cell r="C62">
            <v>117</v>
          </cell>
          <cell r="D62" t="str">
            <v>F</v>
          </cell>
          <cell r="E62">
            <v>56</v>
          </cell>
          <cell r="F62">
            <v>19.321000000000002</v>
          </cell>
          <cell r="G62">
            <v>19013</v>
          </cell>
          <cell r="H62">
            <v>367341</v>
          </cell>
          <cell r="I62">
            <v>302320</v>
          </cell>
          <cell r="J62">
            <v>302320</v>
          </cell>
          <cell r="K62">
            <v>165406</v>
          </cell>
          <cell r="L62">
            <v>165406</v>
          </cell>
          <cell r="M62">
            <v>0</v>
          </cell>
          <cell r="N62">
            <v>165406</v>
          </cell>
          <cell r="O62">
            <v>165406</v>
          </cell>
          <cell r="P62">
            <v>165406</v>
          </cell>
          <cell r="Q62">
            <v>15464</v>
          </cell>
        </row>
        <row r="63">
          <cell r="C63">
            <v>119</v>
          </cell>
          <cell r="D63" t="str">
            <v>M</v>
          </cell>
          <cell r="E63">
            <v>57</v>
          </cell>
          <cell r="F63">
            <v>18.475000000000001</v>
          </cell>
          <cell r="G63">
            <v>16988</v>
          </cell>
          <cell r="H63">
            <v>313844</v>
          </cell>
          <cell r="I63">
            <v>230147</v>
          </cell>
          <cell r="J63">
            <v>230147</v>
          </cell>
          <cell r="K63">
            <v>55589</v>
          </cell>
          <cell r="L63">
            <v>55589</v>
          </cell>
          <cell r="M63">
            <v>0</v>
          </cell>
          <cell r="N63">
            <v>55589</v>
          </cell>
          <cell r="O63">
            <v>55589</v>
          </cell>
          <cell r="P63">
            <v>55589</v>
          </cell>
          <cell r="Q63">
            <v>12307</v>
          </cell>
        </row>
        <row r="64">
          <cell r="C64">
            <v>121</v>
          </cell>
          <cell r="D64" t="str">
            <v>M</v>
          </cell>
          <cell r="E64">
            <v>61</v>
          </cell>
          <cell r="F64">
            <v>6.4279999999999999</v>
          </cell>
          <cell r="G64">
            <v>23175</v>
          </cell>
          <cell r="H64">
            <v>74490</v>
          </cell>
          <cell r="I64">
            <v>60713</v>
          </cell>
          <cell r="J64">
            <v>60713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9337</v>
          </cell>
        </row>
        <row r="65">
          <cell r="C65">
            <v>123</v>
          </cell>
          <cell r="D65" t="str">
            <v>M</v>
          </cell>
          <cell r="E65">
            <v>30</v>
          </cell>
          <cell r="F65">
            <v>6.4989999999999997</v>
          </cell>
          <cell r="G65">
            <v>6750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C66">
            <v>125</v>
          </cell>
          <cell r="D66" t="str">
            <v>F</v>
          </cell>
          <cell r="E66">
            <v>41</v>
          </cell>
          <cell r="F66">
            <v>10.754</v>
          </cell>
          <cell r="G66">
            <v>4500</v>
          </cell>
          <cell r="H66">
            <v>12</v>
          </cell>
          <cell r="I66">
            <v>5</v>
          </cell>
          <cell r="J66">
            <v>5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C67">
            <v>129</v>
          </cell>
          <cell r="D67" t="str">
            <v>M</v>
          </cell>
          <cell r="E67">
            <v>54</v>
          </cell>
          <cell r="F67">
            <v>9.3740000000000006</v>
          </cell>
          <cell r="G67">
            <v>6300</v>
          </cell>
          <cell r="H67">
            <v>59059</v>
          </cell>
          <cell r="I67">
            <v>42335</v>
          </cell>
          <cell r="J67">
            <v>42335</v>
          </cell>
          <cell r="K67">
            <v>19465</v>
          </cell>
          <cell r="L67">
            <v>19465</v>
          </cell>
          <cell r="M67">
            <v>0</v>
          </cell>
          <cell r="N67">
            <v>19465</v>
          </cell>
          <cell r="O67">
            <v>19465</v>
          </cell>
          <cell r="P67">
            <v>19465</v>
          </cell>
          <cell r="Q67">
            <v>4460</v>
          </cell>
        </row>
        <row r="68">
          <cell r="C68">
            <v>131</v>
          </cell>
          <cell r="D68" t="str">
            <v>F</v>
          </cell>
          <cell r="E68">
            <v>39</v>
          </cell>
          <cell r="F68">
            <v>9.7539999999999996</v>
          </cell>
          <cell r="G68">
            <v>14175</v>
          </cell>
          <cell r="H68">
            <v>69138</v>
          </cell>
          <cell r="I68">
            <v>27628</v>
          </cell>
          <cell r="J68">
            <v>27628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2798</v>
          </cell>
        </row>
        <row r="69">
          <cell r="C69">
            <v>133</v>
          </cell>
          <cell r="D69" t="str">
            <v>M</v>
          </cell>
          <cell r="E69">
            <v>46</v>
          </cell>
          <cell r="F69">
            <v>9.2729999999999997</v>
          </cell>
          <cell r="G69">
            <v>15300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>
            <v>135</v>
          </cell>
          <cell r="D70" t="str">
            <v>F</v>
          </cell>
          <cell r="E70">
            <v>31</v>
          </cell>
          <cell r="F70">
            <v>9.7539999999999996</v>
          </cell>
          <cell r="G70">
            <v>10800</v>
          </cell>
          <cell r="H70">
            <v>105354</v>
          </cell>
          <cell r="I70">
            <v>67696</v>
          </cell>
          <cell r="J70">
            <v>67696</v>
          </cell>
          <cell r="K70">
            <v>36034</v>
          </cell>
          <cell r="L70">
            <v>36034</v>
          </cell>
          <cell r="M70">
            <v>0</v>
          </cell>
          <cell r="N70">
            <v>36034</v>
          </cell>
          <cell r="O70">
            <v>36034</v>
          </cell>
          <cell r="P70">
            <v>36034</v>
          </cell>
          <cell r="Q70">
            <v>6861</v>
          </cell>
        </row>
        <row r="71">
          <cell r="C71">
            <v>137</v>
          </cell>
          <cell r="D71" t="str">
            <v>M</v>
          </cell>
          <cell r="E71">
            <v>53</v>
          </cell>
          <cell r="F71">
            <v>9.7539999999999996</v>
          </cell>
          <cell r="G71">
            <v>10209</v>
          </cell>
          <cell r="H71">
            <v>99592</v>
          </cell>
          <cell r="I71">
            <v>75219</v>
          </cell>
          <cell r="J71">
            <v>75219</v>
          </cell>
          <cell r="K71">
            <v>48289</v>
          </cell>
          <cell r="L71">
            <v>48289</v>
          </cell>
          <cell r="M71">
            <v>0</v>
          </cell>
          <cell r="N71">
            <v>48289</v>
          </cell>
          <cell r="O71">
            <v>48289</v>
          </cell>
          <cell r="P71">
            <v>48289</v>
          </cell>
          <cell r="Q71">
            <v>7615</v>
          </cell>
        </row>
        <row r="72">
          <cell r="C72">
            <v>139</v>
          </cell>
          <cell r="D72" t="str">
            <v>M</v>
          </cell>
          <cell r="E72">
            <v>43</v>
          </cell>
          <cell r="F72">
            <v>9.7539999999999996</v>
          </cell>
          <cell r="G72">
            <v>10800</v>
          </cell>
          <cell r="H72">
            <v>52677</v>
          </cell>
          <cell r="I72">
            <v>20967</v>
          </cell>
          <cell r="J72">
            <v>20967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2123</v>
          </cell>
        </row>
        <row r="73">
          <cell r="C73">
            <v>143</v>
          </cell>
          <cell r="D73" t="str">
            <v>F</v>
          </cell>
          <cell r="E73">
            <v>38</v>
          </cell>
          <cell r="F73">
            <v>6.3869999999999996</v>
          </cell>
          <cell r="G73">
            <v>5850</v>
          </cell>
          <cell r="H73">
            <v>37366</v>
          </cell>
          <cell r="I73">
            <v>17939</v>
          </cell>
          <cell r="J73">
            <v>17939</v>
          </cell>
          <cell r="K73">
            <v>4354</v>
          </cell>
          <cell r="L73">
            <v>4354</v>
          </cell>
          <cell r="M73">
            <v>0</v>
          </cell>
          <cell r="N73">
            <v>4354</v>
          </cell>
          <cell r="O73">
            <v>4354</v>
          </cell>
          <cell r="P73">
            <v>4354</v>
          </cell>
          <cell r="Q73">
            <v>2776</v>
          </cell>
        </row>
        <row r="74">
          <cell r="C74">
            <v>147</v>
          </cell>
          <cell r="D74" t="str">
            <v>M</v>
          </cell>
          <cell r="E74">
            <v>35</v>
          </cell>
          <cell r="F74">
            <v>6.335</v>
          </cell>
          <cell r="G74">
            <v>11363</v>
          </cell>
          <cell r="H74">
            <v>71986</v>
          </cell>
          <cell r="I74">
            <v>38730</v>
          </cell>
          <cell r="J74">
            <v>38730</v>
          </cell>
          <cell r="K74">
            <v>12477</v>
          </cell>
          <cell r="L74">
            <v>12477</v>
          </cell>
          <cell r="M74">
            <v>0</v>
          </cell>
          <cell r="N74">
            <v>12477</v>
          </cell>
          <cell r="O74">
            <v>12477</v>
          </cell>
          <cell r="P74">
            <v>12477</v>
          </cell>
          <cell r="Q74">
            <v>6042</v>
          </cell>
        </row>
        <row r="75">
          <cell r="C75">
            <v>149</v>
          </cell>
          <cell r="D75" t="str">
            <v>F</v>
          </cell>
          <cell r="E75">
            <v>34</v>
          </cell>
          <cell r="F75">
            <v>6.22</v>
          </cell>
          <cell r="G75">
            <v>5625</v>
          </cell>
          <cell r="H75">
            <v>34990</v>
          </cell>
          <cell r="I75">
            <v>19277</v>
          </cell>
          <cell r="J75">
            <v>19277</v>
          </cell>
          <cell r="K75">
            <v>6415</v>
          </cell>
          <cell r="L75">
            <v>6415</v>
          </cell>
          <cell r="M75">
            <v>0</v>
          </cell>
          <cell r="N75">
            <v>6415</v>
          </cell>
          <cell r="O75">
            <v>6415</v>
          </cell>
          <cell r="P75">
            <v>6415</v>
          </cell>
          <cell r="Q75">
            <v>3063</v>
          </cell>
        </row>
        <row r="76">
          <cell r="C76" t="str">
            <v>All</v>
          </cell>
          <cell r="G76">
            <v>861985</v>
          </cell>
          <cell r="H76">
            <v>6080499</v>
          </cell>
          <cell r="I76">
            <v>4339092</v>
          </cell>
          <cell r="J76">
            <v>4347370</v>
          </cell>
          <cell r="K76">
            <v>2606829</v>
          </cell>
          <cell r="L76">
            <v>2606829</v>
          </cell>
          <cell r="M76">
            <v>0</v>
          </cell>
          <cell r="N76">
            <v>2606829</v>
          </cell>
          <cell r="O76">
            <v>2606829</v>
          </cell>
          <cell r="P76">
            <v>2606829</v>
          </cell>
          <cell r="Q76">
            <v>224055</v>
          </cell>
        </row>
        <row r="78">
          <cell r="I78">
            <v>9790192</v>
          </cell>
        </row>
        <row r="79">
          <cell r="C79" t="str">
            <v>Valuation Date 31DEC2024, Scenario=0,Prob Scenario=0,RFScenario=1,Inflation=0, Reporting Group B</v>
          </cell>
        </row>
        <row r="80">
          <cell r="G80" t="str">
            <v>Last Monthly Salary For Severance</v>
          </cell>
          <cell r="H80" t="str">
            <v>Pitzuim</v>
          </cell>
          <cell r="I80" t="str">
            <v>Salary Value</v>
          </cell>
          <cell r="J80" t="str">
            <v>Salary Value Final</v>
          </cell>
          <cell r="K80" t="str">
            <v>Severance Pay Fund</v>
          </cell>
          <cell r="L80" t="str">
            <v>Severance Pay Fund Value1</v>
          </cell>
          <cell r="M80" t="str">
            <v>Severance Pay Fund0</v>
          </cell>
          <cell r="N80" t="str">
            <v>Severance Pay Fund Value</v>
          </cell>
          <cell r="O80" t="str">
            <v>Severance Pay Fund Value Final</v>
          </cell>
          <cell r="P80" t="str">
            <v>Severance Pay Fund Value Final 2</v>
          </cell>
          <cell r="Q80" t="str">
            <v>Current Service Cost final</v>
          </cell>
        </row>
        <row r="81">
          <cell r="C81" t="str">
            <v>Unique Identity Number</v>
          </cell>
          <cell r="D81" t="str">
            <v>Gender</v>
          </cell>
          <cell r="E81" t="str">
            <v>Age</v>
          </cell>
          <cell r="F81" t="str">
            <v>Seniority in Yrs</v>
          </cell>
          <cell r="G81">
            <v>46350</v>
          </cell>
          <cell r="H81">
            <v>38624</v>
          </cell>
          <cell r="I81">
            <v>18682</v>
          </cell>
          <cell r="J81">
            <v>18682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C82">
            <v>2</v>
          </cell>
          <cell r="D82" t="str">
            <v>F</v>
          </cell>
          <cell r="E82">
            <v>35</v>
          </cell>
          <cell r="F82">
            <v>10.061</v>
          </cell>
        </row>
        <row r="83">
          <cell r="C83">
            <v>4</v>
          </cell>
          <cell r="D83" t="str">
            <v>F</v>
          </cell>
          <cell r="E83">
            <v>53</v>
          </cell>
          <cell r="F83">
            <v>22.068999999999999</v>
          </cell>
          <cell r="G83">
            <v>10800</v>
          </cell>
          <cell r="H83">
            <v>238354</v>
          </cell>
          <cell r="I83">
            <v>207423</v>
          </cell>
          <cell r="J83">
            <v>207423</v>
          </cell>
          <cell r="K83">
            <v>126000</v>
          </cell>
          <cell r="L83">
            <v>126000</v>
          </cell>
          <cell r="M83">
            <v>0</v>
          </cell>
          <cell r="N83">
            <v>126000</v>
          </cell>
          <cell r="O83">
            <v>126000</v>
          </cell>
          <cell r="P83">
            <v>126000</v>
          </cell>
          <cell r="Q83">
            <v>9285</v>
          </cell>
        </row>
        <row r="84">
          <cell r="C84">
            <v>10</v>
          </cell>
          <cell r="D84" t="str">
            <v>M</v>
          </cell>
          <cell r="E84">
            <v>47</v>
          </cell>
          <cell r="F84">
            <v>7.4489999999999998</v>
          </cell>
          <cell r="G84">
            <v>9113</v>
          </cell>
          <cell r="H84">
            <v>24540</v>
          </cell>
          <cell r="I84">
            <v>12870</v>
          </cell>
          <cell r="J84">
            <v>12870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1321</v>
          </cell>
        </row>
        <row r="85">
          <cell r="C85">
            <v>12</v>
          </cell>
          <cell r="D85" t="str">
            <v>M</v>
          </cell>
          <cell r="E85">
            <v>47</v>
          </cell>
          <cell r="F85">
            <v>7.5339999999999998</v>
          </cell>
          <cell r="G85">
            <v>6863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16</v>
          </cell>
          <cell r="D86" t="str">
            <v>F</v>
          </cell>
          <cell r="E86">
            <v>49</v>
          </cell>
          <cell r="F86">
            <v>23.088000000000001</v>
          </cell>
          <cell r="G86">
            <v>9675</v>
          </cell>
          <cell r="H86">
            <v>176368</v>
          </cell>
          <cell r="I86">
            <v>161353</v>
          </cell>
          <cell r="J86">
            <v>161353</v>
          </cell>
          <cell r="K86">
            <v>135000</v>
          </cell>
          <cell r="L86">
            <v>135000</v>
          </cell>
          <cell r="M86">
            <v>0</v>
          </cell>
          <cell r="N86">
            <v>135000</v>
          </cell>
          <cell r="O86">
            <v>135000</v>
          </cell>
          <cell r="P86">
            <v>135000</v>
          </cell>
          <cell r="Q86">
            <v>2448</v>
          </cell>
        </row>
        <row r="87">
          <cell r="C87">
            <v>18</v>
          </cell>
          <cell r="D87" t="str">
            <v>F</v>
          </cell>
          <cell r="E87">
            <v>49</v>
          </cell>
          <cell r="F87">
            <v>13.426</v>
          </cell>
          <cell r="G87">
            <v>24300</v>
          </cell>
          <cell r="H87">
            <v>165726</v>
          </cell>
          <cell r="I87">
            <v>98777</v>
          </cell>
          <cell r="J87">
            <v>98777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C88">
            <v>22</v>
          </cell>
          <cell r="D88" t="str">
            <v>F</v>
          </cell>
          <cell r="E88">
            <v>48</v>
          </cell>
          <cell r="F88">
            <v>13.144</v>
          </cell>
          <cell r="G88">
            <v>54000</v>
          </cell>
          <cell r="H88">
            <v>443786</v>
          </cell>
          <cell r="I88">
            <v>363304</v>
          </cell>
          <cell r="J88">
            <v>363304</v>
          </cell>
          <cell r="K88">
            <v>252000</v>
          </cell>
          <cell r="L88">
            <v>252000</v>
          </cell>
          <cell r="M88">
            <v>0</v>
          </cell>
          <cell r="N88">
            <v>252000</v>
          </cell>
          <cell r="O88">
            <v>252000</v>
          </cell>
          <cell r="P88">
            <v>252000</v>
          </cell>
          <cell r="Q88">
            <v>12224</v>
          </cell>
        </row>
        <row r="89">
          <cell r="C89">
            <v>24</v>
          </cell>
          <cell r="D89" t="str">
            <v>M</v>
          </cell>
          <cell r="E89">
            <v>40</v>
          </cell>
          <cell r="F89">
            <v>7.2519999999999998</v>
          </cell>
          <cell r="G89">
            <v>27000</v>
          </cell>
          <cell r="H89">
            <v>22472</v>
          </cell>
          <cell r="I89">
            <v>9408</v>
          </cell>
          <cell r="J89">
            <v>9408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C90">
            <v>26</v>
          </cell>
          <cell r="D90" t="str">
            <v>F</v>
          </cell>
          <cell r="E90">
            <v>45</v>
          </cell>
          <cell r="F90">
            <v>7.1230000000000002</v>
          </cell>
          <cell r="G90">
            <v>23480</v>
          </cell>
          <cell r="H90">
            <v>22242</v>
          </cell>
          <cell r="I90">
            <v>23644</v>
          </cell>
          <cell r="J90">
            <v>25000</v>
          </cell>
          <cell r="K90">
            <v>25000</v>
          </cell>
          <cell r="L90">
            <v>25000</v>
          </cell>
          <cell r="M90">
            <v>0</v>
          </cell>
          <cell r="N90">
            <v>25000</v>
          </cell>
          <cell r="O90">
            <v>25000</v>
          </cell>
          <cell r="P90">
            <v>25000</v>
          </cell>
          <cell r="Q90">
            <v>0</v>
          </cell>
        </row>
        <row r="91">
          <cell r="C91">
            <v>28</v>
          </cell>
          <cell r="D91" t="str">
            <v>F</v>
          </cell>
          <cell r="E91">
            <v>44</v>
          </cell>
          <cell r="F91">
            <v>8.0050000000000008</v>
          </cell>
          <cell r="G91">
            <v>25425</v>
          </cell>
          <cell r="H91">
            <v>203539</v>
          </cell>
          <cell r="I91">
            <v>215334</v>
          </cell>
          <cell r="J91">
            <v>225000</v>
          </cell>
          <cell r="K91">
            <v>225000</v>
          </cell>
          <cell r="L91">
            <v>225000</v>
          </cell>
          <cell r="M91">
            <v>0</v>
          </cell>
          <cell r="N91">
            <v>225000</v>
          </cell>
          <cell r="O91">
            <v>225000</v>
          </cell>
          <cell r="P91">
            <v>225000</v>
          </cell>
          <cell r="Q91">
            <v>27766</v>
          </cell>
        </row>
        <row r="92">
          <cell r="C92">
            <v>30</v>
          </cell>
          <cell r="D92" t="str">
            <v>M</v>
          </cell>
          <cell r="E92">
            <v>40</v>
          </cell>
          <cell r="F92">
            <v>9.2729999999999997</v>
          </cell>
          <cell r="G92">
            <v>9675</v>
          </cell>
          <cell r="H92">
            <v>29244</v>
          </cell>
          <cell r="I92">
            <v>12270</v>
          </cell>
          <cell r="J92">
            <v>12270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C93">
            <v>32</v>
          </cell>
          <cell r="D93" t="str">
            <v>M</v>
          </cell>
          <cell r="E93">
            <v>35</v>
          </cell>
          <cell r="F93">
            <v>16.459</v>
          </cell>
          <cell r="G93">
            <v>18675</v>
          </cell>
          <cell r="H93">
            <v>307390</v>
          </cell>
          <cell r="I93">
            <v>232606</v>
          </cell>
          <cell r="J93">
            <v>232606</v>
          </cell>
          <cell r="K93">
            <v>162000</v>
          </cell>
          <cell r="L93">
            <v>162000</v>
          </cell>
          <cell r="M93">
            <v>0</v>
          </cell>
          <cell r="N93">
            <v>162000</v>
          </cell>
          <cell r="O93">
            <v>162000</v>
          </cell>
          <cell r="P93">
            <v>162000</v>
          </cell>
          <cell r="Q93">
            <v>13966</v>
          </cell>
        </row>
        <row r="94">
          <cell r="C94">
            <v>34</v>
          </cell>
          <cell r="D94" t="str">
            <v>M</v>
          </cell>
          <cell r="E94">
            <v>41</v>
          </cell>
          <cell r="F94">
            <v>22.167999999999999</v>
          </cell>
          <cell r="G94">
            <v>28800</v>
          </cell>
          <cell r="H94">
            <v>427604</v>
          </cell>
          <cell r="I94">
            <v>306435</v>
          </cell>
          <cell r="J94">
            <v>306435</v>
          </cell>
          <cell r="K94">
            <v>216000</v>
          </cell>
          <cell r="L94">
            <v>216000</v>
          </cell>
          <cell r="M94">
            <v>0</v>
          </cell>
          <cell r="N94">
            <v>216000</v>
          </cell>
          <cell r="O94">
            <v>216000</v>
          </cell>
          <cell r="P94">
            <v>216000</v>
          </cell>
          <cell r="Q94">
            <v>0</v>
          </cell>
        </row>
        <row r="95">
          <cell r="C95">
            <v>36</v>
          </cell>
          <cell r="D95" t="str">
            <v>M</v>
          </cell>
          <cell r="E95">
            <v>44</v>
          </cell>
          <cell r="F95">
            <v>14.672000000000001</v>
          </cell>
          <cell r="G95">
            <v>7425</v>
          </cell>
          <cell r="H95">
            <v>60681</v>
          </cell>
          <cell r="I95">
            <v>28131</v>
          </cell>
          <cell r="J95">
            <v>28131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>
            <v>38</v>
          </cell>
          <cell r="D96" t="str">
            <v>M</v>
          </cell>
          <cell r="E96">
            <v>44</v>
          </cell>
          <cell r="F96">
            <v>12.907999999999999</v>
          </cell>
          <cell r="G96">
            <v>15300</v>
          </cell>
          <cell r="H96">
            <v>55302</v>
          </cell>
          <cell r="I96">
            <v>25763</v>
          </cell>
          <cell r="J96">
            <v>25763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1971</v>
          </cell>
        </row>
        <row r="97">
          <cell r="C97">
            <v>42</v>
          </cell>
          <cell r="D97" t="str">
            <v>F</v>
          </cell>
          <cell r="E97">
            <v>26</v>
          </cell>
          <cell r="F97">
            <v>7.4139999999999997</v>
          </cell>
          <cell r="G97">
            <v>7988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C98">
            <v>44</v>
          </cell>
          <cell r="D98" t="str">
            <v>M</v>
          </cell>
          <cell r="E98">
            <v>44</v>
          </cell>
          <cell r="F98">
            <v>13.426</v>
          </cell>
          <cell r="G98">
            <v>13556</v>
          </cell>
          <cell r="H98">
            <v>50963</v>
          </cell>
          <cell r="I98">
            <v>23627</v>
          </cell>
          <cell r="J98">
            <v>23627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1738</v>
          </cell>
        </row>
        <row r="99">
          <cell r="C99">
            <v>46</v>
          </cell>
          <cell r="D99" t="str">
            <v>F</v>
          </cell>
          <cell r="E99">
            <v>61</v>
          </cell>
          <cell r="F99">
            <v>27.167000000000002</v>
          </cell>
          <cell r="G99">
            <v>15300</v>
          </cell>
          <cell r="H99">
            <v>415666</v>
          </cell>
          <cell r="I99">
            <v>403942</v>
          </cell>
          <cell r="J99">
            <v>403942</v>
          </cell>
          <cell r="K99">
            <v>315000</v>
          </cell>
          <cell r="L99">
            <v>315000</v>
          </cell>
          <cell r="M99">
            <v>0</v>
          </cell>
          <cell r="N99">
            <v>315000</v>
          </cell>
          <cell r="O99">
            <v>315000</v>
          </cell>
          <cell r="P99">
            <v>315000</v>
          </cell>
          <cell r="Q99">
            <v>14723</v>
          </cell>
        </row>
        <row r="100">
          <cell r="C100">
            <v>48</v>
          </cell>
          <cell r="D100" t="str">
            <v>F</v>
          </cell>
          <cell r="E100">
            <v>46</v>
          </cell>
          <cell r="F100">
            <v>25.335999999999999</v>
          </cell>
          <cell r="G100">
            <v>15525</v>
          </cell>
          <cell r="H100">
            <v>242375</v>
          </cell>
          <cell r="I100">
            <v>177857</v>
          </cell>
          <cell r="J100">
            <v>177857</v>
          </cell>
          <cell r="K100">
            <v>108000</v>
          </cell>
          <cell r="L100">
            <v>108000</v>
          </cell>
          <cell r="M100">
            <v>0</v>
          </cell>
          <cell r="N100">
            <v>108000</v>
          </cell>
          <cell r="O100">
            <v>108000</v>
          </cell>
          <cell r="P100">
            <v>108000</v>
          </cell>
          <cell r="Q100">
            <v>3151</v>
          </cell>
        </row>
        <row r="101">
          <cell r="C101">
            <v>50</v>
          </cell>
          <cell r="D101" t="str">
            <v>M</v>
          </cell>
          <cell r="E101">
            <v>51</v>
          </cell>
          <cell r="F101">
            <v>6.258</v>
          </cell>
          <cell r="G101">
            <v>25425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C102">
            <v>72</v>
          </cell>
          <cell r="D102" t="str">
            <v>F</v>
          </cell>
          <cell r="E102">
            <v>48</v>
          </cell>
          <cell r="F102">
            <v>19.838000000000001</v>
          </cell>
          <cell r="G102">
            <v>36000</v>
          </cell>
          <cell r="H102">
            <v>714185</v>
          </cell>
          <cell r="I102">
            <v>604126</v>
          </cell>
          <cell r="J102">
            <v>604126</v>
          </cell>
          <cell r="K102">
            <v>450000</v>
          </cell>
          <cell r="L102">
            <v>450000</v>
          </cell>
          <cell r="M102">
            <v>0</v>
          </cell>
          <cell r="N102">
            <v>450000</v>
          </cell>
          <cell r="O102">
            <v>450000</v>
          </cell>
          <cell r="P102">
            <v>450000</v>
          </cell>
          <cell r="Q102">
            <v>30074</v>
          </cell>
        </row>
        <row r="103">
          <cell r="C103">
            <v>74</v>
          </cell>
          <cell r="D103" t="str">
            <v>F</v>
          </cell>
          <cell r="E103">
            <v>47</v>
          </cell>
          <cell r="F103">
            <v>18.896000000000001</v>
          </cell>
          <cell r="G103">
            <v>17226</v>
          </cell>
          <cell r="H103">
            <v>325514</v>
          </cell>
          <cell r="I103">
            <v>279102</v>
          </cell>
          <cell r="J103">
            <v>279102</v>
          </cell>
          <cell r="K103">
            <v>225000</v>
          </cell>
          <cell r="L103">
            <v>225000</v>
          </cell>
          <cell r="M103">
            <v>0</v>
          </cell>
          <cell r="N103">
            <v>225000</v>
          </cell>
          <cell r="O103">
            <v>225000</v>
          </cell>
          <cell r="P103">
            <v>225000</v>
          </cell>
          <cell r="Q103">
            <v>14591</v>
          </cell>
        </row>
        <row r="104">
          <cell r="C104">
            <v>76</v>
          </cell>
          <cell r="D104" t="str">
            <v>M</v>
          </cell>
          <cell r="E104">
            <v>46</v>
          </cell>
          <cell r="F104">
            <v>17.067</v>
          </cell>
          <cell r="G104">
            <v>19440</v>
          </cell>
          <cell r="H104">
            <v>331797</v>
          </cell>
          <cell r="I104">
            <v>265194</v>
          </cell>
          <cell r="J104">
            <v>265194</v>
          </cell>
          <cell r="K104">
            <v>198000</v>
          </cell>
          <cell r="L104">
            <v>198000</v>
          </cell>
          <cell r="M104">
            <v>0</v>
          </cell>
          <cell r="N104">
            <v>198000</v>
          </cell>
          <cell r="O104">
            <v>198000</v>
          </cell>
          <cell r="P104">
            <v>198000</v>
          </cell>
          <cell r="Q104">
            <v>15344</v>
          </cell>
        </row>
        <row r="105">
          <cell r="C105">
            <v>80</v>
          </cell>
          <cell r="D105" t="str">
            <v>F</v>
          </cell>
          <cell r="E105">
            <v>49</v>
          </cell>
          <cell r="F105">
            <v>6.1760000000000002</v>
          </cell>
          <cell r="G105">
            <v>22950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C106">
            <v>82</v>
          </cell>
          <cell r="D106" t="str">
            <v>F</v>
          </cell>
          <cell r="E106">
            <v>46</v>
          </cell>
          <cell r="F106">
            <v>6.4580000000000002</v>
          </cell>
          <cell r="G106">
            <v>22050</v>
          </cell>
          <cell r="H106">
            <v>60</v>
          </cell>
          <cell r="I106">
            <v>31</v>
          </cell>
          <cell r="J106">
            <v>31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C107">
            <v>84</v>
          </cell>
          <cell r="D107" t="str">
            <v>M</v>
          </cell>
          <cell r="E107">
            <v>44</v>
          </cell>
          <cell r="F107">
            <v>6.258</v>
          </cell>
          <cell r="G107">
            <v>21150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C108">
            <v>86</v>
          </cell>
          <cell r="D108" t="str">
            <v>F</v>
          </cell>
          <cell r="E108">
            <v>42</v>
          </cell>
          <cell r="F108">
            <v>14.064</v>
          </cell>
          <cell r="G108">
            <v>16578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>
            <v>88</v>
          </cell>
          <cell r="D109" t="str">
            <v>F</v>
          </cell>
          <cell r="E109">
            <v>41</v>
          </cell>
          <cell r="F109">
            <v>6.548</v>
          </cell>
          <cell r="G109">
            <v>19800</v>
          </cell>
          <cell r="H109">
            <v>64834</v>
          </cell>
          <cell r="I109">
            <v>28143</v>
          </cell>
          <cell r="J109">
            <v>28143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4245</v>
          </cell>
        </row>
        <row r="110">
          <cell r="C110">
            <v>90</v>
          </cell>
          <cell r="D110" t="str">
            <v>F</v>
          </cell>
          <cell r="E110">
            <v>36</v>
          </cell>
          <cell r="F110">
            <v>11.958</v>
          </cell>
          <cell r="G110">
            <v>20250</v>
          </cell>
          <cell r="H110">
            <v>15912</v>
          </cell>
          <cell r="I110">
            <v>12856</v>
          </cell>
          <cell r="J110">
            <v>12856</v>
          </cell>
          <cell r="K110">
            <v>10000</v>
          </cell>
          <cell r="L110">
            <v>10000</v>
          </cell>
          <cell r="M110">
            <v>0</v>
          </cell>
          <cell r="N110">
            <v>10000</v>
          </cell>
          <cell r="O110">
            <v>10000</v>
          </cell>
          <cell r="P110">
            <v>10000</v>
          </cell>
          <cell r="Q110">
            <v>0</v>
          </cell>
        </row>
        <row r="111">
          <cell r="C111">
            <v>92</v>
          </cell>
          <cell r="D111" t="str">
            <v>M</v>
          </cell>
          <cell r="E111">
            <v>45</v>
          </cell>
          <cell r="F111">
            <v>6.532</v>
          </cell>
          <cell r="G111">
            <v>9304</v>
          </cell>
          <cell r="H111">
            <v>25</v>
          </cell>
          <cell r="I111">
            <v>12</v>
          </cell>
          <cell r="J111">
            <v>12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C112">
            <v>94</v>
          </cell>
          <cell r="D112" t="str">
            <v>F</v>
          </cell>
          <cell r="E112">
            <v>44</v>
          </cell>
          <cell r="F112">
            <v>17.504999999999999</v>
          </cell>
          <cell r="G112">
            <v>10800</v>
          </cell>
          <cell r="H112">
            <v>189063</v>
          </cell>
          <cell r="I112">
            <v>195309</v>
          </cell>
          <cell r="J112">
            <v>200000</v>
          </cell>
          <cell r="K112">
            <v>200000</v>
          </cell>
          <cell r="L112">
            <v>200000</v>
          </cell>
          <cell r="M112">
            <v>0</v>
          </cell>
          <cell r="N112">
            <v>200000</v>
          </cell>
          <cell r="O112">
            <v>200000</v>
          </cell>
          <cell r="P112">
            <v>200000</v>
          </cell>
          <cell r="Q112">
            <v>11287</v>
          </cell>
        </row>
        <row r="113">
          <cell r="C113">
            <v>96</v>
          </cell>
          <cell r="D113" t="str">
            <v>M</v>
          </cell>
          <cell r="E113">
            <v>36</v>
          </cell>
          <cell r="F113">
            <v>7.4269999999999996</v>
          </cell>
          <cell r="G113">
            <v>35100</v>
          </cell>
          <cell r="H113">
            <v>130358</v>
          </cell>
          <cell r="I113">
            <v>61653</v>
          </cell>
          <cell r="J113">
            <v>61653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8203</v>
          </cell>
        </row>
        <row r="114">
          <cell r="C114">
            <v>98</v>
          </cell>
          <cell r="D114" t="str">
            <v>F</v>
          </cell>
          <cell r="E114">
            <v>39</v>
          </cell>
          <cell r="F114">
            <v>17.029</v>
          </cell>
          <cell r="G114">
            <v>18162</v>
          </cell>
          <cell r="H114">
            <v>309289</v>
          </cell>
          <cell r="I114">
            <v>175938</v>
          </cell>
          <cell r="J114">
            <v>175938</v>
          </cell>
          <cell r="K114">
            <v>70000</v>
          </cell>
          <cell r="L114">
            <v>70000</v>
          </cell>
          <cell r="M114">
            <v>0</v>
          </cell>
          <cell r="N114">
            <v>70000</v>
          </cell>
          <cell r="O114">
            <v>70000</v>
          </cell>
          <cell r="P114">
            <v>70000</v>
          </cell>
          <cell r="Q114">
            <v>10206</v>
          </cell>
        </row>
        <row r="115">
          <cell r="C115">
            <v>100</v>
          </cell>
          <cell r="D115" t="str">
            <v>M</v>
          </cell>
          <cell r="E115">
            <v>57</v>
          </cell>
          <cell r="F115">
            <v>7.0549999999999997</v>
          </cell>
          <cell r="G115">
            <v>36000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>
            <v>102</v>
          </cell>
          <cell r="D116" t="str">
            <v>M</v>
          </cell>
          <cell r="E116">
            <v>33</v>
          </cell>
          <cell r="F116">
            <v>6.91</v>
          </cell>
          <cell r="G116">
            <v>16650</v>
          </cell>
          <cell r="H116">
            <v>57552</v>
          </cell>
          <cell r="I116">
            <v>28355</v>
          </cell>
          <cell r="J116">
            <v>28355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4055</v>
          </cell>
        </row>
        <row r="117">
          <cell r="C117">
            <v>104</v>
          </cell>
          <cell r="D117" t="str">
            <v>M</v>
          </cell>
          <cell r="E117">
            <v>31</v>
          </cell>
          <cell r="F117">
            <v>6.6740000000000004</v>
          </cell>
          <cell r="G117">
            <v>10350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C118">
            <v>106</v>
          </cell>
          <cell r="D118" t="str">
            <v>F</v>
          </cell>
          <cell r="E118">
            <v>31</v>
          </cell>
          <cell r="F118">
            <v>7.2519999999999998</v>
          </cell>
          <cell r="G118">
            <v>17550</v>
          </cell>
          <cell r="H118">
            <v>63641</v>
          </cell>
          <cell r="I118">
            <v>31908</v>
          </cell>
          <cell r="J118">
            <v>31908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4350</v>
          </cell>
        </row>
        <row r="119">
          <cell r="C119">
            <v>108</v>
          </cell>
          <cell r="D119" t="str">
            <v>F</v>
          </cell>
          <cell r="E119">
            <v>52</v>
          </cell>
          <cell r="F119">
            <v>13.259</v>
          </cell>
          <cell r="G119">
            <v>22050</v>
          </cell>
          <cell r="H119">
            <v>146185</v>
          </cell>
          <cell r="I119">
            <v>99646</v>
          </cell>
          <cell r="J119">
            <v>99646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7424</v>
          </cell>
        </row>
        <row r="120">
          <cell r="C120">
            <v>110</v>
          </cell>
          <cell r="D120" t="str">
            <v>F</v>
          </cell>
          <cell r="E120">
            <v>50</v>
          </cell>
          <cell r="F120">
            <v>7.1230000000000002</v>
          </cell>
          <cell r="G120">
            <v>24750</v>
          </cell>
          <cell r="H120">
            <v>88158</v>
          </cell>
          <cell r="I120">
            <v>56633</v>
          </cell>
          <cell r="J120">
            <v>56633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7851</v>
          </cell>
        </row>
        <row r="121">
          <cell r="C121">
            <v>112</v>
          </cell>
          <cell r="D121" t="str">
            <v>M</v>
          </cell>
          <cell r="E121">
            <v>46</v>
          </cell>
          <cell r="F121">
            <v>18.14</v>
          </cell>
          <cell r="G121">
            <v>19599</v>
          </cell>
          <cell r="H121">
            <v>355539</v>
          </cell>
          <cell r="I121">
            <v>313072</v>
          </cell>
          <cell r="J121">
            <v>313072</v>
          </cell>
          <cell r="K121">
            <v>270000</v>
          </cell>
          <cell r="L121">
            <v>270000</v>
          </cell>
          <cell r="M121">
            <v>0</v>
          </cell>
          <cell r="N121">
            <v>270000</v>
          </cell>
          <cell r="O121">
            <v>270000</v>
          </cell>
          <cell r="P121">
            <v>270000</v>
          </cell>
          <cell r="Q121">
            <v>17043</v>
          </cell>
        </row>
        <row r="122">
          <cell r="C122">
            <v>116</v>
          </cell>
          <cell r="D122" t="str">
            <v>F</v>
          </cell>
          <cell r="E122">
            <v>46</v>
          </cell>
          <cell r="F122">
            <v>8.0050000000000008</v>
          </cell>
          <cell r="G122">
            <v>23400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C123">
            <v>118</v>
          </cell>
          <cell r="D123" t="str">
            <v>F</v>
          </cell>
          <cell r="E123">
            <v>56</v>
          </cell>
          <cell r="F123">
            <v>16.657</v>
          </cell>
          <cell r="G123">
            <v>12870</v>
          </cell>
          <cell r="H123">
            <v>214377</v>
          </cell>
          <cell r="I123">
            <v>201966</v>
          </cell>
          <cell r="J123">
            <v>201966</v>
          </cell>
          <cell r="K123">
            <v>156931</v>
          </cell>
          <cell r="L123">
            <v>156931</v>
          </cell>
          <cell r="M123">
            <v>0</v>
          </cell>
          <cell r="N123">
            <v>156931</v>
          </cell>
          <cell r="O123">
            <v>156931</v>
          </cell>
          <cell r="P123">
            <v>156931</v>
          </cell>
          <cell r="Q123">
            <v>11988</v>
          </cell>
        </row>
        <row r="124">
          <cell r="C124">
            <v>120</v>
          </cell>
          <cell r="D124" t="str">
            <v>M</v>
          </cell>
          <cell r="E124">
            <v>45</v>
          </cell>
          <cell r="F124">
            <v>14.811</v>
          </cell>
          <cell r="G124">
            <v>17550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C125">
            <v>122</v>
          </cell>
          <cell r="D125" t="str">
            <v>M</v>
          </cell>
          <cell r="E125">
            <v>56</v>
          </cell>
          <cell r="F125">
            <v>20.585000000000001</v>
          </cell>
          <cell r="G125">
            <v>22050</v>
          </cell>
          <cell r="H125">
            <v>453919</v>
          </cell>
          <cell r="I125">
            <v>421836</v>
          </cell>
          <cell r="J125">
            <v>421836</v>
          </cell>
          <cell r="K125">
            <v>327747</v>
          </cell>
          <cell r="L125">
            <v>327747</v>
          </cell>
          <cell r="M125">
            <v>0</v>
          </cell>
          <cell r="N125">
            <v>327747</v>
          </cell>
          <cell r="O125">
            <v>327747</v>
          </cell>
          <cell r="P125">
            <v>327747</v>
          </cell>
          <cell r="Q125">
            <v>20244</v>
          </cell>
        </row>
        <row r="126">
          <cell r="C126">
            <v>124</v>
          </cell>
          <cell r="D126" t="str">
            <v>M</v>
          </cell>
          <cell r="E126">
            <v>35</v>
          </cell>
          <cell r="F126">
            <v>11.087999999999999</v>
          </cell>
          <cell r="G126">
            <v>4500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C127">
            <v>126</v>
          </cell>
          <cell r="D127" t="str">
            <v>F</v>
          </cell>
          <cell r="E127">
            <v>54</v>
          </cell>
          <cell r="F127">
            <v>8.9280000000000008</v>
          </cell>
          <cell r="G127">
            <v>5513</v>
          </cell>
          <cell r="H127">
            <v>49216</v>
          </cell>
          <cell r="I127">
            <v>40017</v>
          </cell>
          <cell r="J127">
            <v>40017</v>
          </cell>
          <cell r="K127">
            <v>16625</v>
          </cell>
          <cell r="L127">
            <v>16625</v>
          </cell>
          <cell r="M127">
            <v>0</v>
          </cell>
          <cell r="N127">
            <v>16625</v>
          </cell>
          <cell r="O127">
            <v>16625</v>
          </cell>
          <cell r="P127">
            <v>16625</v>
          </cell>
          <cell r="Q127">
            <v>4430</v>
          </cell>
        </row>
        <row r="128">
          <cell r="C128">
            <v>130</v>
          </cell>
          <cell r="D128" t="str">
            <v>F</v>
          </cell>
          <cell r="E128">
            <v>45</v>
          </cell>
          <cell r="F128">
            <v>9.7539999999999996</v>
          </cell>
          <cell r="G128">
            <v>6581</v>
          </cell>
          <cell r="H128">
            <v>64200</v>
          </cell>
          <cell r="I128">
            <v>41899</v>
          </cell>
          <cell r="J128">
            <v>41899</v>
          </cell>
          <cell r="K128">
            <v>19924</v>
          </cell>
          <cell r="L128">
            <v>19924</v>
          </cell>
          <cell r="M128">
            <v>0</v>
          </cell>
          <cell r="N128">
            <v>19924</v>
          </cell>
          <cell r="O128">
            <v>19924</v>
          </cell>
          <cell r="P128">
            <v>19924</v>
          </cell>
          <cell r="Q128">
            <v>4243</v>
          </cell>
        </row>
        <row r="129">
          <cell r="C129">
            <v>132</v>
          </cell>
          <cell r="D129" t="str">
            <v>F</v>
          </cell>
          <cell r="E129">
            <v>33</v>
          </cell>
          <cell r="F129">
            <v>9.7539999999999996</v>
          </cell>
          <cell r="G129">
            <v>6075</v>
          </cell>
          <cell r="H129">
            <v>59261</v>
          </cell>
          <cell r="I129">
            <v>38920</v>
          </cell>
          <cell r="J129">
            <v>38920</v>
          </cell>
          <cell r="K129">
            <v>18790</v>
          </cell>
          <cell r="L129">
            <v>18790</v>
          </cell>
          <cell r="M129">
            <v>0</v>
          </cell>
          <cell r="N129">
            <v>18790</v>
          </cell>
          <cell r="O129">
            <v>18790</v>
          </cell>
          <cell r="P129">
            <v>18790</v>
          </cell>
          <cell r="Q129">
            <v>3945</v>
          </cell>
        </row>
        <row r="130">
          <cell r="C130">
            <v>134</v>
          </cell>
          <cell r="D130" t="str">
            <v>F</v>
          </cell>
          <cell r="E130">
            <v>44</v>
          </cell>
          <cell r="F130">
            <v>9.7539999999999996</v>
          </cell>
          <cell r="G130">
            <v>6075</v>
          </cell>
          <cell r="H130">
            <v>59261</v>
          </cell>
          <cell r="I130">
            <v>41519</v>
          </cell>
          <cell r="J130">
            <v>41519</v>
          </cell>
          <cell r="K130">
            <v>25249</v>
          </cell>
          <cell r="L130">
            <v>25249</v>
          </cell>
          <cell r="M130">
            <v>0</v>
          </cell>
          <cell r="N130">
            <v>25249</v>
          </cell>
          <cell r="O130">
            <v>25249</v>
          </cell>
          <cell r="P130">
            <v>25249</v>
          </cell>
          <cell r="Q130">
            <v>4205</v>
          </cell>
        </row>
        <row r="131">
          <cell r="C131">
            <v>136</v>
          </cell>
          <cell r="D131" t="str">
            <v>F</v>
          </cell>
          <cell r="E131">
            <v>40</v>
          </cell>
          <cell r="F131">
            <v>9.7539999999999996</v>
          </cell>
          <cell r="G131">
            <v>6413</v>
          </cell>
          <cell r="H131">
            <v>62554</v>
          </cell>
          <cell r="I131">
            <v>37336</v>
          </cell>
          <cell r="J131">
            <v>37336</v>
          </cell>
          <cell r="K131">
            <v>18598</v>
          </cell>
          <cell r="L131">
            <v>18598</v>
          </cell>
          <cell r="M131">
            <v>0</v>
          </cell>
          <cell r="N131">
            <v>18598</v>
          </cell>
          <cell r="O131">
            <v>18598</v>
          </cell>
          <cell r="P131">
            <v>18598</v>
          </cell>
          <cell r="Q131">
            <v>3781</v>
          </cell>
        </row>
        <row r="132">
          <cell r="C132">
            <v>138</v>
          </cell>
          <cell r="D132" t="str">
            <v>M</v>
          </cell>
          <cell r="E132">
            <v>49</v>
          </cell>
          <cell r="F132">
            <v>7.931</v>
          </cell>
          <cell r="G132">
            <v>23738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C133">
            <v>140</v>
          </cell>
          <cell r="D133" t="str">
            <v>F</v>
          </cell>
          <cell r="E133">
            <v>42</v>
          </cell>
          <cell r="F133">
            <v>6.9480000000000004</v>
          </cell>
          <cell r="G133">
            <v>6525</v>
          </cell>
          <cell r="H133">
            <v>45340</v>
          </cell>
          <cell r="I133">
            <v>26106</v>
          </cell>
          <cell r="J133">
            <v>26106</v>
          </cell>
          <cell r="K133">
            <v>10510</v>
          </cell>
          <cell r="L133">
            <v>10510</v>
          </cell>
          <cell r="M133">
            <v>0</v>
          </cell>
          <cell r="N133">
            <v>10510</v>
          </cell>
          <cell r="O133">
            <v>10510</v>
          </cell>
          <cell r="P133">
            <v>10510</v>
          </cell>
          <cell r="Q133">
            <v>3712</v>
          </cell>
        </row>
        <row r="134">
          <cell r="C134">
            <v>142</v>
          </cell>
          <cell r="D134" t="str">
            <v>M</v>
          </cell>
          <cell r="E134">
            <v>49</v>
          </cell>
          <cell r="F134">
            <v>6.4550000000000001</v>
          </cell>
          <cell r="G134">
            <v>9675</v>
          </cell>
          <cell r="H134">
            <v>62460</v>
          </cell>
          <cell r="I134">
            <v>40981</v>
          </cell>
          <cell r="J134">
            <v>40981</v>
          </cell>
          <cell r="K134">
            <v>11828</v>
          </cell>
          <cell r="L134">
            <v>11828</v>
          </cell>
          <cell r="M134">
            <v>0</v>
          </cell>
          <cell r="N134">
            <v>11828</v>
          </cell>
          <cell r="O134">
            <v>11828</v>
          </cell>
          <cell r="P134">
            <v>11828</v>
          </cell>
          <cell r="Q134">
            <v>6269</v>
          </cell>
        </row>
        <row r="135">
          <cell r="C135">
            <v>144</v>
          </cell>
          <cell r="D135" t="str">
            <v>M</v>
          </cell>
          <cell r="E135">
            <v>36</v>
          </cell>
          <cell r="F135">
            <v>6.5869999999999997</v>
          </cell>
          <cell r="G135">
            <v>25386</v>
          </cell>
          <cell r="H135">
            <v>70</v>
          </cell>
          <cell r="I135">
            <v>33</v>
          </cell>
          <cell r="J135">
            <v>33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C136">
            <v>146</v>
          </cell>
          <cell r="D136" t="str">
            <v>F</v>
          </cell>
          <cell r="E136">
            <v>30</v>
          </cell>
          <cell r="F136">
            <v>6.1980000000000004</v>
          </cell>
          <cell r="G136">
            <v>9956</v>
          </cell>
          <cell r="H136">
            <v>61714</v>
          </cell>
          <cell r="I136">
            <v>36639</v>
          </cell>
          <cell r="J136">
            <v>36639</v>
          </cell>
          <cell r="K136">
            <v>10972</v>
          </cell>
          <cell r="L136">
            <v>10972</v>
          </cell>
          <cell r="M136">
            <v>0</v>
          </cell>
          <cell r="N136">
            <v>10972</v>
          </cell>
          <cell r="O136">
            <v>10972</v>
          </cell>
          <cell r="P136">
            <v>10972</v>
          </cell>
          <cell r="Q136">
            <v>5844</v>
          </cell>
        </row>
        <row r="137">
          <cell r="C137">
            <v>148</v>
          </cell>
          <cell r="D137" t="str">
            <v>M</v>
          </cell>
          <cell r="E137">
            <v>40</v>
          </cell>
          <cell r="F137">
            <v>6.3159999999999998</v>
          </cell>
          <cell r="G137">
            <v>8550</v>
          </cell>
          <cell r="H137">
            <v>54004</v>
          </cell>
          <cell r="I137">
            <v>28659</v>
          </cell>
          <cell r="J137">
            <v>28659</v>
          </cell>
          <cell r="K137">
            <v>10356</v>
          </cell>
          <cell r="L137">
            <v>10356</v>
          </cell>
          <cell r="M137">
            <v>0</v>
          </cell>
          <cell r="N137">
            <v>10356</v>
          </cell>
          <cell r="O137">
            <v>10356</v>
          </cell>
          <cell r="P137">
            <v>10356</v>
          </cell>
          <cell r="Q137">
            <v>4482</v>
          </cell>
        </row>
        <row r="138">
          <cell r="C138">
            <v>150</v>
          </cell>
          <cell r="D138" t="str">
            <v>F</v>
          </cell>
          <cell r="E138">
            <v>28</v>
          </cell>
          <cell r="F138">
            <v>6.2169999999999996</v>
          </cell>
          <cell r="G138">
            <v>5850</v>
          </cell>
          <cell r="H138">
            <v>36373</v>
          </cell>
          <cell r="I138">
            <v>21784</v>
          </cell>
          <cell r="J138">
            <v>21784</v>
          </cell>
          <cell r="K138">
            <v>6624</v>
          </cell>
          <cell r="L138">
            <v>6624</v>
          </cell>
          <cell r="M138">
            <v>0</v>
          </cell>
          <cell r="N138">
            <v>6624</v>
          </cell>
          <cell r="O138">
            <v>6624</v>
          </cell>
          <cell r="P138">
            <v>6624</v>
          </cell>
          <cell r="Q138">
            <v>3466</v>
          </cell>
        </row>
        <row r="139">
          <cell r="C139" t="str">
            <v>All</v>
          </cell>
          <cell r="G139">
            <v>1011138</v>
          </cell>
          <cell r="H139">
            <v>6939737</v>
          </cell>
          <cell r="I139">
            <v>5451100</v>
          </cell>
          <cell r="J139">
            <v>5466812</v>
          </cell>
          <cell r="K139">
            <v>3621155</v>
          </cell>
          <cell r="L139">
            <v>3621155</v>
          </cell>
          <cell r="M139">
            <v>0</v>
          </cell>
          <cell r="N139">
            <v>3621155</v>
          </cell>
          <cell r="O139">
            <v>3621155</v>
          </cell>
          <cell r="P139">
            <v>3621155</v>
          </cell>
          <cell r="Q139">
            <v>299874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6">
          <cell r="C26" t="str">
            <v>Unique Identity Number</v>
          </cell>
          <cell r="D26" t="str">
            <v>Gender</v>
          </cell>
          <cell r="E26" t="str">
            <v>Age</v>
          </cell>
          <cell r="F26" t="str">
            <v>Seniority in Yrs</v>
          </cell>
          <cell r="G26">
            <v>6384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C27">
            <v>1</v>
          </cell>
          <cell r="D27" t="str">
            <v>M</v>
          </cell>
          <cell r="E27">
            <v>42</v>
          </cell>
          <cell r="F27">
            <v>11.561</v>
          </cell>
        </row>
        <row r="28">
          <cell r="C28">
            <v>2</v>
          </cell>
          <cell r="D28" t="str">
            <v>F</v>
          </cell>
          <cell r="E28">
            <v>42</v>
          </cell>
          <cell r="F28">
            <v>10.976000000000001</v>
          </cell>
          <cell r="G28">
            <v>17541</v>
          </cell>
          <cell r="H28">
            <v>53907</v>
          </cell>
          <cell r="I28">
            <v>22423</v>
          </cell>
          <cell r="J28">
            <v>22423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2018</v>
          </cell>
        </row>
        <row r="29">
          <cell r="C29">
            <v>4</v>
          </cell>
          <cell r="D29" t="str">
            <v>F</v>
          </cell>
          <cell r="E29">
            <v>60</v>
          </cell>
          <cell r="F29">
            <v>22.984000000000002</v>
          </cell>
          <cell r="G29">
            <v>8775</v>
          </cell>
          <cell r="H29">
            <v>201687</v>
          </cell>
          <cell r="I29">
            <v>209761</v>
          </cell>
          <cell r="J29">
            <v>209761</v>
          </cell>
          <cell r="K29">
            <v>142015</v>
          </cell>
          <cell r="L29">
            <v>142015</v>
          </cell>
          <cell r="M29">
            <v>0</v>
          </cell>
          <cell r="N29">
            <v>142015</v>
          </cell>
          <cell r="O29">
            <v>142015</v>
          </cell>
          <cell r="P29">
            <v>142015</v>
          </cell>
          <cell r="Q29">
            <v>9032</v>
          </cell>
        </row>
        <row r="30">
          <cell r="C30">
            <v>7</v>
          </cell>
          <cell r="D30" t="str">
            <v>F</v>
          </cell>
          <cell r="E30">
            <v>59</v>
          </cell>
          <cell r="F30">
            <v>9.5</v>
          </cell>
          <cell r="G30">
            <v>19666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C31">
            <v>9</v>
          </cell>
          <cell r="D31" t="str">
            <v>F</v>
          </cell>
          <cell r="E31">
            <v>55</v>
          </cell>
          <cell r="F31">
            <v>23.591999999999999</v>
          </cell>
          <cell r="G31">
            <v>9333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C32">
            <v>10</v>
          </cell>
          <cell r="D32" t="str">
            <v>M</v>
          </cell>
          <cell r="E32">
            <v>54</v>
          </cell>
          <cell r="F32">
            <v>8.3640000000000008</v>
          </cell>
          <cell r="G32">
            <v>7580</v>
          </cell>
          <cell r="H32">
            <v>17751</v>
          </cell>
          <cell r="I32">
            <v>12622</v>
          </cell>
          <cell r="J32">
            <v>12622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1491</v>
          </cell>
        </row>
        <row r="33">
          <cell r="C33">
            <v>11</v>
          </cell>
          <cell r="D33" t="str">
            <v>M</v>
          </cell>
          <cell r="E33">
            <v>54</v>
          </cell>
          <cell r="F33">
            <v>22.838999999999999</v>
          </cell>
          <cell r="G33">
            <v>19134</v>
          </cell>
          <cell r="H33">
            <v>437013</v>
          </cell>
          <cell r="I33">
            <v>457150</v>
          </cell>
          <cell r="J33">
            <v>457150</v>
          </cell>
          <cell r="K33">
            <v>385468</v>
          </cell>
          <cell r="L33">
            <v>385468</v>
          </cell>
          <cell r="M33">
            <v>0</v>
          </cell>
          <cell r="N33">
            <v>385468</v>
          </cell>
          <cell r="O33">
            <v>385468</v>
          </cell>
          <cell r="P33">
            <v>385468</v>
          </cell>
          <cell r="Q33">
            <v>19774</v>
          </cell>
        </row>
        <row r="34">
          <cell r="C34">
            <v>12</v>
          </cell>
          <cell r="D34" t="str">
            <v>M</v>
          </cell>
          <cell r="E34">
            <v>54</v>
          </cell>
          <cell r="F34">
            <v>8.4510000000000005</v>
          </cell>
          <cell r="G34">
            <v>5986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13</v>
          </cell>
          <cell r="D35" t="str">
            <v>M</v>
          </cell>
          <cell r="E35">
            <v>54</v>
          </cell>
          <cell r="F35">
            <v>24.974</v>
          </cell>
          <cell r="G35">
            <v>20330</v>
          </cell>
          <cell r="H35">
            <v>507727</v>
          </cell>
          <cell r="I35">
            <v>458703</v>
          </cell>
          <cell r="J35">
            <v>458703</v>
          </cell>
          <cell r="K35">
            <v>253598</v>
          </cell>
          <cell r="L35">
            <v>253598</v>
          </cell>
          <cell r="M35">
            <v>0</v>
          </cell>
          <cell r="N35">
            <v>253598</v>
          </cell>
          <cell r="O35">
            <v>253598</v>
          </cell>
          <cell r="P35">
            <v>253598</v>
          </cell>
          <cell r="Q35">
            <v>18145</v>
          </cell>
        </row>
        <row r="36">
          <cell r="C36">
            <v>15</v>
          </cell>
          <cell r="D36" t="str">
            <v>M</v>
          </cell>
          <cell r="E36">
            <v>57</v>
          </cell>
          <cell r="F36">
            <v>13.888999999999999</v>
          </cell>
          <cell r="G36">
            <v>26625</v>
          </cell>
          <cell r="H36">
            <v>103543</v>
          </cell>
          <cell r="I36">
            <v>85479</v>
          </cell>
          <cell r="J36">
            <v>85479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6082</v>
          </cell>
        </row>
        <row r="37">
          <cell r="C37">
            <v>16</v>
          </cell>
          <cell r="D37" t="str">
            <v>F</v>
          </cell>
          <cell r="E37">
            <v>56</v>
          </cell>
          <cell r="F37">
            <v>24.01</v>
          </cell>
          <cell r="G37">
            <v>7978</v>
          </cell>
          <cell r="H37">
            <v>191562</v>
          </cell>
          <cell r="I37">
            <v>164436</v>
          </cell>
          <cell r="J37">
            <v>164436</v>
          </cell>
          <cell r="K37">
            <v>152159</v>
          </cell>
          <cell r="L37">
            <v>152159</v>
          </cell>
          <cell r="M37">
            <v>0</v>
          </cell>
          <cell r="N37">
            <v>152159</v>
          </cell>
          <cell r="O37">
            <v>152159</v>
          </cell>
          <cell r="P37">
            <v>152159</v>
          </cell>
          <cell r="Q37">
            <v>6771</v>
          </cell>
        </row>
        <row r="38">
          <cell r="C38">
            <v>17</v>
          </cell>
          <cell r="D38" t="str">
            <v>F</v>
          </cell>
          <cell r="E38">
            <v>57</v>
          </cell>
          <cell r="F38">
            <v>18.954000000000001</v>
          </cell>
          <cell r="G38">
            <v>14752</v>
          </cell>
          <cell r="H38">
            <v>78289</v>
          </cell>
          <cell r="I38">
            <v>67799</v>
          </cell>
          <cell r="J38">
            <v>67799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3537</v>
          </cell>
        </row>
        <row r="39">
          <cell r="C39">
            <v>18</v>
          </cell>
          <cell r="D39" t="str">
            <v>F</v>
          </cell>
          <cell r="E39">
            <v>57</v>
          </cell>
          <cell r="F39">
            <v>14.346</v>
          </cell>
          <cell r="G39">
            <v>18338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19</v>
          </cell>
          <cell r="D40" t="str">
            <v>M</v>
          </cell>
          <cell r="E40">
            <v>56</v>
          </cell>
          <cell r="F40">
            <v>8.1720000000000006</v>
          </cell>
          <cell r="G40">
            <v>17939</v>
          </cell>
          <cell r="H40">
            <v>146607</v>
          </cell>
          <cell r="I40">
            <v>101556</v>
          </cell>
          <cell r="J40">
            <v>101556</v>
          </cell>
          <cell r="K40">
            <v>50720</v>
          </cell>
          <cell r="L40">
            <v>50720</v>
          </cell>
          <cell r="M40">
            <v>0</v>
          </cell>
          <cell r="N40">
            <v>50720</v>
          </cell>
          <cell r="O40">
            <v>50720</v>
          </cell>
          <cell r="P40">
            <v>50720</v>
          </cell>
          <cell r="Q40">
            <v>12276</v>
          </cell>
        </row>
        <row r="41">
          <cell r="C41">
            <v>21</v>
          </cell>
          <cell r="D41" t="str">
            <v>M</v>
          </cell>
          <cell r="E41">
            <v>56</v>
          </cell>
          <cell r="F41">
            <v>24.01</v>
          </cell>
          <cell r="G41">
            <v>16744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22</v>
          </cell>
          <cell r="D42" t="str">
            <v>F</v>
          </cell>
          <cell r="E42">
            <v>55</v>
          </cell>
          <cell r="F42">
            <v>14.061</v>
          </cell>
          <cell r="G42">
            <v>39375</v>
          </cell>
          <cell r="H42">
            <v>553675</v>
          </cell>
          <cell r="I42">
            <v>388728</v>
          </cell>
          <cell r="J42">
            <v>388728</v>
          </cell>
          <cell r="K42">
            <v>180000</v>
          </cell>
          <cell r="L42">
            <v>180000</v>
          </cell>
          <cell r="M42">
            <v>0</v>
          </cell>
          <cell r="N42">
            <v>180000</v>
          </cell>
          <cell r="O42">
            <v>180000</v>
          </cell>
          <cell r="P42">
            <v>180000</v>
          </cell>
          <cell r="Q42">
            <v>27321</v>
          </cell>
        </row>
        <row r="43">
          <cell r="C43">
            <v>24</v>
          </cell>
          <cell r="D43" t="str">
            <v>M</v>
          </cell>
          <cell r="E43">
            <v>48</v>
          </cell>
          <cell r="F43">
            <v>8.1669999999999998</v>
          </cell>
          <cell r="G43">
            <v>20250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C44">
            <v>25</v>
          </cell>
          <cell r="D44" t="str">
            <v>M</v>
          </cell>
          <cell r="E44">
            <v>53</v>
          </cell>
          <cell r="F44">
            <v>14.176</v>
          </cell>
          <cell r="G44">
            <v>7580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C45">
            <v>26</v>
          </cell>
          <cell r="D45" t="str">
            <v>F</v>
          </cell>
          <cell r="E45">
            <v>53</v>
          </cell>
          <cell r="F45">
            <v>8.0410000000000004</v>
          </cell>
          <cell r="G45">
            <v>17757</v>
          </cell>
          <cell r="H45">
            <v>142781</v>
          </cell>
          <cell r="I45">
            <v>106741</v>
          </cell>
          <cell r="J45">
            <v>106741</v>
          </cell>
          <cell r="K45">
            <v>84000</v>
          </cell>
          <cell r="L45">
            <v>84000</v>
          </cell>
          <cell r="M45">
            <v>0</v>
          </cell>
          <cell r="N45">
            <v>84000</v>
          </cell>
          <cell r="O45">
            <v>84000</v>
          </cell>
          <cell r="P45">
            <v>84000</v>
          </cell>
          <cell r="Q45">
            <v>13114</v>
          </cell>
        </row>
        <row r="46">
          <cell r="C46">
            <v>27</v>
          </cell>
          <cell r="D46" t="str">
            <v>M</v>
          </cell>
          <cell r="E46">
            <v>51</v>
          </cell>
          <cell r="F46">
            <v>18.954000000000001</v>
          </cell>
          <cell r="G46">
            <v>9572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C47">
            <v>28</v>
          </cell>
          <cell r="D47" t="str">
            <v>F</v>
          </cell>
          <cell r="E47">
            <v>51</v>
          </cell>
          <cell r="F47">
            <v>8.9220000000000006</v>
          </cell>
          <cell r="G47">
            <v>19134</v>
          </cell>
          <cell r="H47">
            <v>170729</v>
          </cell>
          <cell r="I47">
            <v>253598</v>
          </cell>
          <cell r="J47">
            <v>253598</v>
          </cell>
          <cell r="K47">
            <v>253598</v>
          </cell>
          <cell r="L47">
            <v>253598</v>
          </cell>
          <cell r="M47">
            <v>0</v>
          </cell>
          <cell r="N47">
            <v>253598</v>
          </cell>
          <cell r="O47">
            <v>253598</v>
          </cell>
          <cell r="P47">
            <v>253598</v>
          </cell>
          <cell r="Q47">
            <v>28078</v>
          </cell>
        </row>
        <row r="48">
          <cell r="C48">
            <v>30</v>
          </cell>
          <cell r="D48" t="str">
            <v>M</v>
          </cell>
          <cell r="E48">
            <v>47</v>
          </cell>
          <cell r="F48">
            <v>10.19</v>
          </cell>
          <cell r="G48">
            <v>7978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C49">
            <v>31</v>
          </cell>
          <cell r="D49" t="str">
            <v>F</v>
          </cell>
          <cell r="E49">
            <v>43</v>
          </cell>
          <cell r="F49">
            <v>8.8480000000000008</v>
          </cell>
          <cell r="G49">
            <v>6554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C50">
            <v>32</v>
          </cell>
          <cell r="D50" t="str">
            <v>M</v>
          </cell>
          <cell r="E50">
            <v>43</v>
          </cell>
          <cell r="F50">
            <v>17.376999999999999</v>
          </cell>
          <cell r="G50">
            <v>14353</v>
          </cell>
          <cell r="H50">
            <v>249416</v>
          </cell>
          <cell r="I50">
            <v>202447</v>
          </cell>
          <cell r="J50">
            <v>202447</v>
          </cell>
          <cell r="K50">
            <v>182590</v>
          </cell>
          <cell r="L50">
            <v>182590</v>
          </cell>
          <cell r="M50">
            <v>0</v>
          </cell>
          <cell r="N50">
            <v>182590</v>
          </cell>
          <cell r="O50">
            <v>182590</v>
          </cell>
          <cell r="P50">
            <v>182590</v>
          </cell>
          <cell r="Q50">
            <v>11509</v>
          </cell>
        </row>
        <row r="51">
          <cell r="C51">
            <v>33</v>
          </cell>
          <cell r="D51" t="str">
            <v>F</v>
          </cell>
          <cell r="E51">
            <v>42</v>
          </cell>
          <cell r="F51">
            <v>17.920999999999999</v>
          </cell>
          <cell r="G51">
            <v>6125</v>
          </cell>
          <cell r="H51">
            <v>109779</v>
          </cell>
          <cell r="I51">
            <v>94719</v>
          </cell>
          <cell r="J51">
            <v>94719</v>
          </cell>
          <cell r="K51">
            <v>81151</v>
          </cell>
          <cell r="L51">
            <v>81151</v>
          </cell>
          <cell r="M51">
            <v>0</v>
          </cell>
          <cell r="N51">
            <v>81151</v>
          </cell>
          <cell r="O51">
            <v>81151</v>
          </cell>
          <cell r="P51">
            <v>81151</v>
          </cell>
          <cell r="Q51">
            <v>5221</v>
          </cell>
        </row>
        <row r="52">
          <cell r="C52">
            <v>34</v>
          </cell>
          <cell r="D52" t="str">
            <v>M</v>
          </cell>
          <cell r="E52">
            <v>48</v>
          </cell>
          <cell r="F52">
            <v>23.085000000000001</v>
          </cell>
          <cell r="G52">
            <v>21525</v>
          </cell>
          <cell r="H52">
            <v>496916</v>
          </cell>
          <cell r="I52">
            <v>386260</v>
          </cell>
          <cell r="J52">
            <v>386260</v>
          </cell>
          <cell r="K52">
            <v>243454</v>
          </cell>
          <cell r="L52">
            <v>243454</v>
          </cell>
          <cell r="M52">
            <v>0</v>
          </cell>
          <cell r="N52">
            <v>243454</v>
          </cell>
          <cell r="O52">
            <v>243454</v>
          </cell>
          <cell r="P52">
            <v>243454</v>
          </cell>
          <cell r="Q52">
            <v>16524</v>
          </cell>
        </row>
        <row r="53">
          <cell r="C53">
            <v>36</v>
          </cell>
          <cell r="D53" t="str">
            <v>M</v>
          </cell>
          <cell r="E53">
            <v>52</v>
          </cell>
          <cell r="F53">
            <v>15.586</v>
          </cell>
          <cell r="G53">
            <v>6384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37</v>
          </cell>
          <cell r="D54" t="str">
            <v>M</v>
          </cell>
          <cell r="E54">
            <v>51</v>
          </cell>
          <cell r="F54">
            <v>18.672000000000001</v>
          </cell>
          <cell r="G54">
            <v>13955</v>
          </cell>
          <cell r="H54">
            <v>260563</v>
          </cell>
          <cell r="I54">
            <v>229220</v>
          </cell>
          <cell r="J54">
            <v>229220</v>
          </cell>
          <cell r="K54">
            <v>152159</v>
          </cell>
          <cell r="L54">
            <v>152159</v>
          </cell>
          <cell r="M54">
            <v>0</v>
          </cell>
          <cell r="N54">
            <v>152159</v>
          </cell>
          <cell r="O54">
            <v>152159</v>
          </cell>
          <cell r="P54">
            <v>152159</v>
          </cell>
          <cell r="Q54">
            <v>12123</v>
          </cell>
        </row>
        <row r="55">
          <cell r="C55">
            <v>38</v>
          </cell>
          <cell r="D55" t="str">
            <v>M</v>
          </cell>
          <cell r="E55">
            <v>51</v>
          </cell>
          <cell r="F55">
            <v>13.831</v>
          </cell>
          <cell r="G55">
            <v>11963</v>
          </cell>
          <cell r="H55">
            <v>46329</v>
          </cell>
          <cell r="I55">
            <v>28322</v>
          </cell>
          <cell r="J55">
            <v>28322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2022</v>
          </cell>
        </row>
        <row r="56">
          <cell r="C56">
            <v>39</v>
          </cell>
          <cell r="D56" t="str">
            <v>M</v>
          </cell>
          <cell r="E56">
            <v>43</v>
          </cell>
          <cell r="F56">
            <v>12.432</v>
          </cell>
          <cell r="G56">
            <v>8377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C57">
            <v>41</v>
          </cell>
          <cell r="D57" t="str">
            <v>F</v>
          </cell>
          <cell r="E57">
            <v>59</v>
          </cell>
          <cell r="F57">
            <v>23.753</v>
          </cell>
          <cell r="G57">
            <v>10209</v>
          </cell>
          <cell r="H57">
            <v>242510</v>
          </cell>
          <cell r="I57">
            <v>211367</v>
          </cell>
          <cell r="J57">
            <v>211367</v>
          </cell>
          <cell r="K57">
            <v>156000</v>
          </cell>
          <cell r="L57">
            <v>156000</v>
          </cell>
          <cell r="M57">
            <v>0</v>
          </cell>
          <cell r="N57">
            <v>156000</v>
          </cell>
          <cell r="O57">
            <v>156000</v>
          </cell>
          <cell r="P57">
            <v>156000</v>
          </cell>
          <cell r="Q57">
            <v>8802</v>
          </cell>
        </row>
        <row r="58">
          <cell r="C58">
            <v>42</v>
          </cell>
          <cell r="D58" t="str">
            <v>F</v>
          </cell>
          <cell r="E58">
            <v>31</v>
          </cell>
          <cell r="F58">
            <v>8.3279999999999994</v>
          </cell>
          <cell r="G58">
            <v>6783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C59">
            <v>43</v>
          </cell>
          <cell r="D59" t="str">
            <v>F</v>
          </cell>
          <cell r="E59">
            <v>46</v>
          </cell>
          <cell r="F59">
            <v>12.404999999999999</v>
          </cell>
          <cell r="G59">
            <v>10369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C60">
            <v>44</v>
          </cell>
          <cell r="D60" t="str">
            <v>M</v>
          </cell>
          <cell r="E60">
            <v>52</v>
          </cell>
          <cell r="F60">
            <v>14.346</v>
          </cell>
          <cell r="G60">
            <v>10727</v>
          </cell>
          <cell r="H60">
            <v>43091</v>
          </cell>
          <cell r="I60">
            <v>19975</v>
          </cell>
          <cell r="J60">
            <v>19975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1375</v>
          </cell>
        </row>
        <row r="61">
          <cell r="C61">
            <v>45</v>
          </cell>
          <cell r="D61" t="str">
            <v>F</v>
          </cell>
          <cell r="E61">
            <v>29</v>
          </cell>
          <cell r="F61">
            <v>6.3239999999999998</v>
          </cell>
          <cell r="G61">
            <v>6185</v>
          </cell>
          <cell r="H61">
            <v>10953</v>
          </cell>
          <cell r="I61">
            <v>3969</v>
          </cell>
          <cell r="J61">
            <v>3969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620</v>
          </cell>
        </row>
        <row r="62">
          <cell r="C62">
            <v>46</v>
          </cell>
          <cell r="D62" t="str">
            <v>F</v>
          </cell>
          <cell r="E62">
            <v>59</v>
          </cell>
          <cell r="F62">
            <v>28.084</v>
          </cell>
          <cell r="G62">
            <v>11963</v>
          </cell>
          <cell r="H62">
            <v>335965</v>
          </cell>
          <cell r="I62">
            <v>355037</v>
          </cell>
          <cell r="J62">
            <v>355037</v>
          </cell>
          <cell r="K62">
            <v>355037</v>
          </cell>
          <cell r="L62">
            <v>355037</v>
          </cell>
          <cell r="M62">
            <v>0</v>
          </cell>
          <cell r="N62">
            <v>355037</v>
          </cell>
          <cell r="O62">
            <v>355037</v>
          </cell>
          <cell r="P62">
            <v>355037</v>
          </cell>
          <cell r="Q62">
            <v>12504</v>
          </cell>
        </row>
        <row r="63">
          <cell r="C63">
            <v>47</v>
          </cell>
          <cell r="D63" t="str">
            <v>F</v>
          </cell>
          <cell r="E63">
            <v>59</v>
          </cell>
          <cell r="F63">
            <v>11.359</v>
          </cell>
          <cell r="G63">
            <v>7978</v>
          </cell>
          <cell r="H63">
            <v>25375</v>
          </cell>
          <cell r="I63">
            <v>19762</v>
          </cell>
          <cell r="J63">
            <v>19762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1721</v>
          </cell>
        </row>
        <row r="64">
          <cell r="C64">
            <v>48</v>
          </cell>
          <cell r="D64" t="str">
            <v>F</v>
          </cell>
          <cell r="E64">
            <v>53</v>
          </cell>
          <cell r="F64">
            <v>26.253</v>
          </cell>
          <cell r="G64">
            <v>12122</v>
          </cell>
          <cell r="H64">
            <v>318239</v>
          </cell>
          <cell r="I64">
            <v>259690</v>
          </cell>
          <cell r="J64">
            <v>259690</v>
          </cell>
          <cell r="K64">
            <v>240000</v>
          </cell>
          <cell r="L64">
            <v>240000</v>
          </cell>
          <cell r="M64">
            <v>0</v>
          </cell>
          <cell r="N64">
            <v>240000</v>
          </cell>
          <cell r="O64">
            <v>240000</v>
          </cell>
          <cell r="P64">
            <v>240000</v>
          </cell>
          <cell r="Q64">
            <v>9776</v>
          </cell>
        </row>
        <row r="65">
          <cell r="C65">
            <v>50</v>
          </cell>
          <cell r="D65" t="str">
            <v>M</v>
          </cell>
          <cell r="E65">
            <v>58</v>
          </cell>
          <cell r="F65">
            <v>8.1750000000000007</v>
          </cell>
          <cell r="G65">
            <v>19134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C66">
            <v>71</v>
          </cell>
          <cell r="D66" t="str">
            <v>M</v>
          </cell>
          <cell r="E66">
            <v>58</v>
          </cell>
          <cell r="F66">
            <v>7.7530000000000001</v>
          </cell>
          <cell r="G66">
            <v>19134</v>
          </cell>
          <cell r="H66">
            <v>41541</v>
          </cell>
          <cell r="I66">
            <v>26734</v>
          </cell>
          <cell r="J66">
            <v>26734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3406</v>
          </cell>
        </row>
        <row r="67">
          <cell r="C67">
            <v>72</v>
          </cell>
          <cell r="D67" t="str">
            <v>F</v>
          </cell>
          <cell r="E67">
            <v>55</v>
          </cell>
          <cell r="F67">
            <v>20.751999999999999</v>
          </cell>
          <cell r="G67">
            <v>26625</v>
          </cell>
          <cell r="H67">
            <v>552546</v>
          </cell>
          <cell r="I67">
            <v>518080</v>
          </cell>
          <cell r="J67">
            <v>518080</v>
          </cell>
          <cell r="K67">
            <v>507195</v>
          </cell>
          <cell r="L67">
            <v>507195</v>
          </cell>
          <cell r="M67">
            <v>0</v>
          </cell>
          <cell r="N67">
            <v>507195</v>
          </cell>
          <cell r="O67">
            <v>507195</v>
          </cell>
          <cell r="P67">
            <v>507195</v>
          </cell>
          <cell r="Q67">
            <v>24672</v>
          </cell>
        </row>
        <row r="68">
          <cell r="C68">
            <v>73</v>
          </cell>
          <cell r="D68" t="str">
            <v>F</v>
          </cell>
          <cell r="E68">
            <v>55</v>
          </cell>
          <cell r="F68">
            <v>24.041</v>
          </cell>
          <cell r="G68">
            <v>11325</v>
          </cell>
          <cell r="H68">
            <v>272265</v>
          </cell>
          <cell r="I68">
            <v>217939</v>
          </cell>
          <cell r="J68">
            <v>217939</v>
          </cell>
          <cell r="K68">
            <v>180000</v>
          </cell>
          <cell r="L68">
            <v>180000</v>
          </cell>
          <cell r="M68">
            <v>0</v>
          </cell>
          <cell r="N68">
            <v>180000</v>
          </cell>
          <cell r="O68">
            <v>180000</v>
          </cell>
          <cell r="P68">
            <v>180000</v>
          </cell>
          <cell r="Q68">
            <v>8959</v>
          </cell>
        </row>
        <row r="69">
          <cell r="C69">
            <v>74</v>
          </cell>
          <cell r="D69" t="str">
            <v>F</v>
          </cell>
          <cell r="E69">
            <v>55</v>
          </cell>
          <cell r="F69">
            <v>19.818999999999999</v>
          </cell>
          <cell r="G69">
            <v>13327</v>
          </cell>
          <cell r="H69">
            <v>264127</v>
          </cell>
          <cell r="I69">
            <v>256322</v>
          </cell>
          <cell r="J69">
            <v>256322</v>
          </cell>
          <cell r="K69">
            <v>253598</v>
          </cell>
          <cell r="L69">
            <v>253598</v>
          </cell>
          <cell r="M69">
            <v>0</v>
          </cell>
          <cell r="N69">
            <v>253598</v>
          </cell>
          <cell r="O69">
            <v>253598</v>
          </cell>
          <cell r="P69">
            <v>253598</v>
          </cell>
          <cell r="Q69">
            <v>12781</v>
          </cell>
        </row>
        <row r="70">
          <cell r="C70">
            <v>75</v>
          </cell>
          <cell r="D70" t="str">
            <v>F</v>
          </cell>
          <cell r="E70">
            <v>54</v>
          </cell>
          <cell r="F70">
            <v>18.715</v>
          </cell>
          <cell r="G70">
            <v>12457</v>
          </cell>
          <cell r="H70">
            <v>233136</v>
          </cell>
          <cell r="I70">
            <v>245443</v>
          </cell>
          <cell r="J70">
            <v>245443</v>
          </cell>
          <cell r="K70">
            <v>202878</v>
          </cell>
          <cell r="L70">
            <v>202878</v>
          </cell>
          <cell r="M70">
            <v>0</v>
          </cell>
          <cell r="N70">
            <v>202878</v>
          </cell>
          <cell r="O70">
            <v>202878</v>
          </cell>
          <cell r="P70">
            <v>202878</v>
          </cell>
          <cell r="Q70">
            <v>12960</v>
          </cell>
        </row>
        <row r="71">
          <cell r="C71">
            <v>76</v>
          </cell>
          <cell r="D71" t="str">
            <v>M</v>
          </cell>
          <cell r="E71">
            <v>53</v>
          </cell>
          <cell r="F71">
            <v>17.981999999999999</v>
          </cell>
          <cell r="G71">
            <v>14895</v>
          </cell>
          <cell r="H71">
            <v>267845</v>
          </cell>
          <cell r="I71">
            <v>235067</v>
          </cell>
          <cell r="J71">
            <v>235067</v>
          </cell>
          <cell r="K71">
            <v>223166</v>
          </cell>
          <cell r="L71">
            <v>223166</v>
          </cell>
          <cell r="M71">
            <v>0</v>
          </cell>
          <cell r="N71">
            <v>223166</v>
          </cell>
          <cell r="O71">
            <v>223166</v>
          </cell>
          <cell r="P71">
            <v>223166</v>
          </cell>
          <cell r="Q71">
            <v>12910</v>
          </cell>
        </row>
        <row r="72">
          <cell r="C72">
            <v>77</v>
          </cell>
          <cell r="D72" t="str">
            <v>F</v>
          </cell>
          <cell r="E72">
            <v>53</v>
          </cell>
          <cell r="F72">
            <v>10.093999999999999</v>
          </cell>
          <cell r="G72">
            <v>12026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79</v>
          </cell>
          <cell r="D73" t="str">
            <v>F</v>
          </cell>
          <cell r="E73">
            <v>57</v>
          </cell>
          <cell r="F73">
            <v>7.7149999999999999</v>
          </cell>
          <cell r="G73">
            <v>9731</v>
          </cell>
          <cell r="H73">
            <v>21022</v>
          </cell>
          <cell r="I73">
            <v>18282</v>
          </cell>
          <cell r="J73">
            <v>18282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2343</v>
          </cell>
        </row>
        <row r="74">
          <cell r="C74">
            <v>80</v>
          </cell>
          <cell r="D74" t="str">
            <v>F</v>
          </cell>
          <cell r="E74">
            <v>56</v>
          </cell>
          <cell r="F74">
            <v>8.093</v>
          </cell>
          <cell r="G74">
            <v>17381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C75">
            <v>81</v>
          </cell>
          <cell r="D75" t="str">
            <v>F</v>
          </cell>
          <cell r="E75">
            <v>53</v>
          </cell>
          <cell r="F75">
            <v>20.454000000000001</v>
          </cell>
          <cell r="G75">
            <v>11731</v>
          </cell>
          <cell r="H75">
            <v>239943</v>
          </cell>
          <cell r="I75">
            <v>270000</v>
          </cell>
          <cell r="J75">
            <v>270000</v>
          </cell>
          <cell r="K75">
            <v>270000</v>
          </cell>
          <cell r="L75">
            <v>270000</v>
          </cell>
          <cell r="M75">
            <v>0</v>
          </cell>
          <cell r="N75">
            <v>270000</v>
          </cell>
          <cell r="O75">
            <v>270000</v>
          </cell>
          <cell r="P75">
            <v>270000</v>
          </cell>
          <cell r="Q75">
            <v>13040</v>
          </cell>
        </row>
        <row r="76">
          <cell r="C76">
            <v>82</v>
          </cell>
          <cell r="D76" t="str">
            <v>F</v>
          </cell>
          <cell r="E76">
            <v>53</v>
          </cell>
          <cell r="F76">
            <v>9.3740000000000006</v>
          </cell>
          <cell r="G76">
            <v>16744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C77">
            <v>84</v>
          </cell>
          <cell r="D77" t="str">
            <v>M</v>
          </cell>
          <cell r="E77">
            <v>51</v>
          </cell>
          <cell r="F77">
            <v>9.1769999999999996</v>
          </cell>
          <cell r="G77">
            <v>16106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C78">
            <v>85</v>
          </cell>
          <cell r="D78" t="str">
            <v>F</v>
          </cell>
          <cell r="E78">
            <v>50</v>
          </cell>
          <cell r="F78">
            <v>16.798999999999999</v>
          </cell>
          <cell r="G78">
            <v>7181</v>
          </cell>
          <cell r="H78">
            <v>120641</v>
          </cell>
          <cell r="I78">
            <v>70593</v>
          </cell>
          <cell r="J78">
            <v>70593</v>
          </cell>
          <cell r="K78">
            <v>36000</v>
          </cell>
          <cell r="L78">
            <v>36000</v>
          </cell>
          <cell r="M78">
            <v>0</v>
          </cell>
          <cell r="N78">
            <v>36000</v>
          </cell>
          <cell r="O78">
            <v>36000</v>
          </cell>
          <cell r="P78">
            <v>36000</v>
          </cell>
          <cell r="Q78">
            <v>4151</v>
          </cell>
        </row>
        <row r="79">
          <cell r="C79">
            <v>86</v>
          </cell>
          <cell r="D79" t="str">
            <v>F</v>
          </cell>
          <cell r="E79">
            <v>50</v>
          </cell>
          <cell r="F79">
            <v>14.978</v>
          </cell>
          <cell r="G79">
            <v>12868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C80">
            <v>87</v>
          </cell>
          <cell r="D80" t="str">
            <v>M</v>
          </cell>
          <cell r="E80">
            <v>49</v>
          </cell>
          <cell r="F80">
            <v>14.061</v>
          </cell>
          <cell r="G80">
            <v>17541</v>
          </cell>
          <cell r="H80">
            <v>123325</v>
          </cell>
          <cell r="I80">
            <v>50493</v>
          </cell>
          <cell r="J80">
            <v>50493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3546</v>
          </cell>
        </row>
        <row r="81">
          <cell r="C81">
            <v>88</v>
          </cell>
          <cell r="D81" t="str">
            <v>F</v>
          </cell>
          <cell r="E81">
            <v>48</v>
          </cell>
          <cell r="F81">
            <v>9.4670000000000005</v>
          </cell>
          <cell r="G81">
            <v>15150</v>
          </cell>
          <cell r="H81">
            <v>71716</v>
          </cell>
          <cell r="I81">
            <v>38796</v>
          </cell>
          <cell r="J81">
            <v>38796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4048</v>
          </cell>
        </row>
        <row r="82">
          <cell r="C82">
            <v>90</v>
          </cell>
          <cell r="D82" t="str">
            <v>F</v>
          </cell>
          <cell r="E82">
            <v>43</v>
          </cell>
          <cell r="F82">
            <v>12.875999999999999</v>
          </cell>
          <cell r="G82">
            <v>15469</v>
          </cell>
          <cell r="H82">
            <v>199177</v>
          </cell>
          <cell r="I82">
            <v>121097</v>
          </cell>
          <cell r="J82">
            <v>121097</v>
          </cell>
          <cell r="K82">
            <v>84000</v>
          </cell>
          <cell r="L82">
            <v>84000</v>
          </cell>
          <cell r="M82">
            <v>0</v>
          </cell>
          <cell r="N82">
            <v>84000</v>
          </cell>
          <cell r="O82">
            <v>84000</v>
          </cell>
          <cell r="P82">
            <v>84000</v>
          </cell>
          <cell r="Q82">
            <v>9291</v>
          </cell>
        </row>
        <row r="83">
          <cell r="C83">
            <v>91</v>
          </cell>
          <cell r="D83" t="str">
            <v>F</v>
          </cell>
          <cell r="E83">
            <v>43</v>
          </cell>
          <cell r="F83">
            <v>14.379</v>
          </cell>
          <cell r="G83">
            <v>8074</v>
          </cell>
          <cell r="H83">
            <v>116094</v>
          </cell>
          <cell r="I83">
            <v>84700</v>
          </cell>
          <cell r="J83">
            <v>84700</v>
          </cell>
          <cell r="K83">
            <v>71007</v>
          </cell>
          <cell r="L83">
            <v>71007</v>
          </cell>
          <cell r="M83">
            <v>0</v>
          </cell>
          <cell r="N83">
            <v>71007</v>
          </cell>
          <cell r="O83">
            <v>71007</v>
          </cell>
          <cell r="P83">
            <v>71007</v>
          </cell>
          <cell r="Q83">
            <v>5819</v>
          </cell>
        </row>
        <row r="84">
          <cell r="C84">
            <v>92</v>
          </cell>
          <cell r="D84" t="str">
            <v>M</v>
          </cell>
          <cell r="E84">
            <v>52</v>
          </cell>
          <cell r="F84">
            <v>8.4489999999999998</v>
          </cell>
          <cell r="G84">
            <v>7715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C85">
            <v>93</v>
          </cell>
          <cell r="D85" t="str">
            <v>F</v>
          </cell>
          <cell r="E85">
            <v>52</v>
          </cell>
          <cell r="F85">
            <v>8.9220000000000006</v>
          </cell>
          <cell r="G85">
            <v>6643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C86">
            <v>94</v>
          </cell>
          <cell r="D86" t="str">
            <v>F</v>
          </cell>
          <cell r="E86">
            <v>51</v>
          </cell>
          <cell r="F86">
            <v>18.420000000000002</v>
          </cell>
          <cell r="G86">
            <v>8775</v>
          </cell>
          <cell r="H86">
            <v>161638</v>
          </cell>
          <cell r="I86">
            <v>204313</v>
          </cell>
          <cell r="J86">
            <v>204313</v>
          </cell>
          <cell r="K86">
            <v>202878</v>
          </cell>
          <cell r="L86">
            <v>202878</v>
          </cell>
          <cell r="M86">
            <v>0</v>
          </cell>
          <cell r="N86">
            <v>202878</v>
          </cell>
          <cell r="O86">
            <v>202878</v>
          </cell>
          <cell r="P86">
            <v>202878</v>
          </cell>
          <cell r="Q86">
            <v>10958</v>
          </cell>
        </row>
        <row r="87">
          <cell r="C87">
            <v>95</v>
          </cell>
          <cell r="D87" t="str">
            <v>F</v>
          </cell>
          <cell r="E87">
            <v>44</v>
          </cell>
          <cell r="F87">
            <v>8.1639999999999997</v>
          </cell>
          <cell r="G87">
            <v>10050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C88">
            <v>96</v>
          </cell>
          <cell r="D88" t="str">
            <v>M</v>
          </cell>
          <cell r="E88">
            <v>44</v>
          </cell>
          <cell r="F88">
            <v>8.3439999999999994</v>
          </cell>
          <cell r="G88">
            <v>13556</v>
          </cell>
          <cell r="H88">
            <v>56563</v>
          </cell>
          <cell r="I88">
            <v>20263</v>
          </cell>
          <cell r="J88">
            <v>20263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2399</v>
          </cell>
        </row>
        <row r="89">
          <cell r="C89">
            <v>97</v>
          </cell>
          <cell r="D89" t="str">
            <v>M</v>
          </cell>
          <cell r="E89">
            <v>44</v>
          </cell>
          <cell r="F89">
            <v>8.4459999999999997</v>
          </cell>
          <cell r="G89">
            <v>10560</v>
          </cell>
          <cell r="H89">
            <v>44596</v>
          </cell>
          <cell r="I89">
            <v>15997</v>
          </cell>
          <cell r="J89">
            <v>15997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1871</v>
          </cell>
        </row>
        <row r="90">
          <cell r="C90">
            <v>98</v>
          </cell>
          <cell r="D90" t="str">
            <v>F</v>
          </cell>
          <cell r="E90">
            <v>46</v>
          </cell>
          <cell r="F90">
            <v>17.943000000000001</v>
          </cell>
          <cell r="G90">
            <v>13990</v>
          </cell>
          <cell r="H90">
            <v>251030</v>
          </cell>
          <cell r="I90">
            <v>135076</v>
          </cell>
          <cell r="J90">
            <v>135076</v>
          </cell>
          <cell r="K90">
            <v>71007</v>
          </cell>
          <cell r="L90">
            <v>71007</v>
          </cell>
          <cell r="M90">
            <v>0</v>
          </cell>
          <cell r="N90">
            <v>71007</v>
          </cell>
          <cell r="O90">
            <v>71007</v>
          </cell>
          <cell r="P90">
            <v>71007</v>
          </cell>
          <cell r="Q90">
            <v>7437</v>
          </cell>
        </row>
        <row r="91">
          <cell r="C91">
            <v>99</v>
          </cell>
          <cell r="D91" t="str">
            <v>F</v>
          </cell>
          <cell r="E91">
            <v>54</v>
          </cell>
          <cell r="F91">
            <v>19.292999999999999</v>
          </cell>
          <cell r="G91">
            <v>16792</v>
          </cell>
          <cell r="H91">
            <v>323970</v>
          </cell>
          <cell r="I91">
            <v>348158</v>
          </cell>
          <cell r="J91">
            <v>348158</v>
          </cell>
          <cell r="K91">
            <v>304317</v>
          </cell>
          <cell r="L91">
            <v>304317</v>
          </cell>
          <cell r="M91">
            <v>0</v>
          </cell>
          <cell r="N91">
            <v>304317</v>
          </cell>
          <cell r="O91">
            <v>304317</v>
          </cell>
          <cell r="P91">
            <v>304317</v>
          </cell>
          <cell r="Q91">
            <v>17834</v>
          </cell>
        </row>
        <row r="92">
          <cell r="C92">
            <v>100</v>
          </cell>
          <cell r="D92" t="str">
            <v>M</v>
          </cell>
          <cell r="E92">
            <v>54</v>
          </cell>
          <cell r="F92">
            <v>7.9690000000000003</v>
          </cell>
          <cell r="G92">
            <v>26625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C93">
            <v>101</v>
          </cell>
          <cell r="D93" t="str">
            <v>F</v>
          </cell>
          <cell r="E93">
            <v>45</v>
          </cell>
          <cell r="F93">
            <v>17.738</v>
          </cell>
          <cell r="G93">
            <v>18736</v>
          </cell>
          <cell r="H93">
            <v>332348</v>
          </cell>
          <cell r="I93">
            <v>291822</v>
          </cell>
          <cell r="J93">
            <v>291822</v>
          </cell>
          <cell r="K93">
            <v>240000</v>
          </cell>
          <cell r="L93">
            <v>240000</v>
          </cell>
          <cell r="M93">
            <v>0</v>
          </cell>
          <cell r="N93">
            <v>240000</v>
          </cell>
          <cell r="O93">
            <v>240000</v>
          </cell>
          <cell r="P93">
            <v>240000</v>
          </cell>
          <cell r="Q93">
            <v>16252</v>
          </cell>
        </row>
        <row r="94">
          <cell r="C94">
            <v>102</v>
          </cell>
          <cell r="D94" t="str">
            <v>M</v>
          </cell>
          <cell r="E94">
            <v>40</v>
          </cell>
          <cell r="F94">
            <v>7.8319999999999999</v>
          </cell>
          <cell r="G94">
            <v>12919</v>
          </cell>
          <cell r="H94">
            <v>50596</v>
          </cell>
          <cell r="I94">
            <v>17320</v>
          </cell>
          <cell r="J94">
            <v>17320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2184</v>
          </cell>
        </row>
        <row r="95">
          <cell r="C95">
            <v>103</v>
          </cell>
          <cell r="D95" t="str">
            <v>M</v>
          </cell>
          <cell r="E95">
            <v>39</v>
          </cell>
          <cell r="F95">
            <v>7.7939999999999996</v>
          </cell>
          <cell r="G95">
            <v>16226</v>
          </cell>
          <cell r="H95">
            <v>63237</v>
          </cell>
          <cell r="I95">
            <v>23807</v>
          </cell>
          <cell r="J95">
            <v>23807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3019</v>
          </cell>
        </row>
        <row r="96">
          <cell r="C96">
            <v>104</v>
          </cell>
          <cell r="D96" t="str">
            <v>M</v>
          </cell>
          <cell r="E96">
            <v>38</v>
          </cell>
          <cell r="F96">
            <v>7.5919999999999996</v>
          </cell>
          <cell r="G96">
            <v>8456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C97">
            <v>105</v>
          </cell>
          <cell r="D97" t="str">
            <v>M</v>
          </cell>
          <cell r="E97">
            <v>39</v>
          </cell>
          <cell r="F97">
            <v>8.2379999999999995</v>
          </cell>
          <cell r="G97">
            <v>9950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C98">
            <v>106</v>
          </cell>
          <cell r="D98" t="str">
            <v>F</v>
          </cell>
          <cell r="E98">
            <v>39</v>
          </cell>
          <cell r="F98">
            <v>8.1669999999999998</v>
          </cell>
          <cell r="G98">
            <v>13556</v>
          </cell>
          <cell r="H98">
            <v>55357</v>
          </cell>
          <cell r="I98">
            <v>21331</v>
          </cell>
          <cell r="J98">
            <v>21331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2581</v>
          </cell>
        </row>
        <row r="99">
          <cell r="C99">
            <v>107</v>
          </cell>
          <cell r="D99" t="str">
            <v>M</v>
          </cell>
          <cell r="E99">
            <v>33</v>
          </cell>
          <cell r="F99">
            <v>8.4649999999999999</v>
          </cell>
          <cell r="G99">
            <v>15150</v>
          </cell>
          <cell r="H99">
            <v>64126</v>
          </cell>
          <cell r="I99">
            <v>22840</v>
          </cell>
          <cell r="J99">
            <v>22840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2668</v>
          </cell>
        </row>
        <row r="100">
          <cell r="C100">
            <v>108</v>
          </cell>
          <cell r="D100" t="str">
            <v>F</v>
          </cell>
          <cell r="E100">
            <v>59</v>
          </cell>
          <cell r="F100">
            <v>14.176</v>
          </cell>
          <cell r="G100">
            <v>16744</v>
          </cell>
          <cell r="H100">
            <v>118685</v>
          </cell>
          <cell r="I100">
            <v>91785</v>
          </cell>
          <cell r="J100">
            <v>91785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6404</v>
          </cell>
        </row>
        <row r="101">
          <cell r="C101">
            <v>109</v>
          </cell>
          <cell r="D101" t="str">
            <v>M</v>
          </cell>
          <cell r="E101">
            <v>50</v>
          </cell>
          <cell r="F101">
            <v>7.7750000000000004</v>
          </cell>
          <cell r="G101">
            <v>15030</v>
          </cell>
          <cell r="H101">
            <v>58435</v>
          </cell>
          <cell r="I101">
            <v>24776</v>
          </cell>
          <cell r="J101">
            <v>24776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3147</v>
          </cell>
        </row>
        <row r="102">
          <cell r="C102">
            <v>110</v>
          </cell>
          <cell r="D102" t="str">
            <v>F</v>
          </cell>
          <cell r="E102">
            <v>57</v>
          </cell>
          <cell r="F102">
            <v>8.0410000000000004</v>
          </cell>
          <cell r="G102">
            <v>18656</v>
          </cell>
          <cell r="H102">
            <v>75008</v>
          </cell>
          <cell r="I102">
            <v>64582</v>
          </cell>
          <cell r="J102">
            <v>64582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7941</v>
          </cell>
        </row>
        <row r="103">
          <cell r="C103">
            <v>111</v>
          </cell>
          <cell r="D103" t="str">
            <v>F</v>
          </cell>
          <cell r="E103">
            <v>62</v>
          </cell>
          <cell r="F103">
            <v>21.504999999999999</v>
          </cell>
          <cell r="G103">
            <v>17063</v>
          </cell>
          <cell r="H103">
            <v>366943</v>
          </cell>
          <cell r="I103">
            <v>405756</v>
          </cell>
          <cell r="J103">
            <v>405756</v>
          </cell>
          <cell r="K103">
            <v>405756</v>
          </cell>
          <cell r="L103">
            <v>405756</v>
          </cell>
          <cell r="M103">
            <v>0</v>
          </cell>
          <cell r="N103">
            <v>405756</v>
          </cell>
          <cell r="O103">
            <v>405756</v>
          </cell>
          <cell r="P103">
            <v>405756</v>
          </cell>
          <cell r="Q103">
            <v>18698</v>
          </cell>
        </row>
        <row r="104">
          <cell r="C104">
            <v>112</v>
          </cell>
          <cell r="D104" t="str">
            <v>M</v>
          </cell>
          <cell r="E104">
            <v>53</v>
          </cell>
          <cell r="F104">
            <v>19.058</v>
          </cell>
          <cell r="G104">
            <v>15007</v>
          </cell>
          <cell r="H104">
            <v>286013</v>
          </cell>
          <cell r="I104">
            <v>276927</v>
          </cell>
          <cell r="J104">
            <v>276927</v>
          </cell>
          <cell r="K104">
            <v>273885</v>
          </cell>
          <cell r="L104">
            <v>273885</v>
          </cell>
          <cell r="M104">
            <v>0</v>
          </cell>
          <cell r="N104">
            <v>273885</v>
          </cell>
          <cell r="O104">
            <v>273885</v>
          </cell>
          <cell r="P104">
            <v>273885</v>
          </cell>
          <cell r="Q104">
            <v>14355</v>
          </cell>
        </row>
        <row r="105">
          <cell r="C105">
            <v>113</v>
          </cell>
          <cell r="D105" t="str">
            <v>M</v>
          </cell>
          <cell r="E105">
            <v>38</v>
          </cell>
          <cell r="F105">
            <v>8.3010000000000002</v>
          </cell>
          <cell r="G105">
            <v>14831</v>
          </cell>
          <cell r="H105">
            <v>61558</v>
          </cell>
          <cell r="I105">
            <v>21199</v>
          </cell>
          <cell r="J105">
            <v>21199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2524</v>
          </cell>
        </row>
        <row r="106">
          <cell r="C106">
            <v>115</v>
          </cell>
          <cell r="D106" t="str">
            <v>F</v>
          </cell>
          <cell r="E106">
            <v>56</v>
          </cell>
          <cell r="F106">
            <v>20.974</v>
          </cell>
          <cell r="G106">
            <v>10767</v>
          </cell>
          <cell r="H106">
            <v>225838</v>
          </cell>
          <cell r="I106">
            <v>181272</v>
          </cell>
          <cell r="J106">
            <v>181272</v>
          </cell>
          <cell r="K106">
            <v>131871</v>
          </cell>
          <cell r="L106">
            <v>131871</v>
          </cell>
          <cell r="M106">
            <v>0</v>
          </cell>
          <cell r="N106">
            <v>131871</v>
          </cell>
          <cell r="O106">
            <v>131871</v>
          </cell>
          <cell r="P106">
            <v>131871</v>
          </cell>
          <cell r="Q106">
            <v>8545</v>
          </cell>
        </row>
        <row r="107">
          <cell r="C107">
            <v>116</v>
          </cell>
          <cell r="D107" t="str">
            <v>F</v>
          </cell>
          <cell r="E107">
            <v>54</v>
          </cell>
          <cell r="F107">
            <v>8.9220000000000006</v>
          </cell>
          <cell r="G107">
            <v>17700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C108">
            <v>117</v>
          </cell>
          <cell r="D108" t="str">
            <v>F</v>
          </cell>
          <cell r="E108">
            <v>63</v>
          </cell>
          <cell r="F108">
            <v>20.238</v>
          </cell>
          <cell r="G108">
            <v>14592</v>
          </cell>
          <cell r="H108">
            <v>295320</v>
          </cell>
          <cell r="I108">
            <v>294098</v>
          </cell>
          <cell r="J108">
            <v>294098</v>
          </cell>
          <cell r="K108">
            <v>167786</v>
          </cell>
          <cell r="L108">
            <v>167786</v>
          </cell>
          <cell r="M108">
            <v>0</v>
          </cell>
          <cell r="N108">
            <v>167786</v>
          </cell>
          <cell r="O108">
            <v>167786</v>
          </cell>
          <cell r="P108">
            <v>167786</v>
          </cell>
          <cell r="Q108">
            <v>14402</v>
          </cell>
        </row>
        <row r="109">
          <cell r="C109">
            <v>118</v>
          </cell>
          <cell r="D109" t="str">
            <v>F</v>
          </cell>
          <cell r="E109">
            <v>64</v>
          </cell>
          <cell r="F109">
            <v>17.574000000000002</v>
          </cell>
          <cell r="G109">
            <v>10241</v>
          </cell>
          <cell r="H109">
            <v>179982</v>
          </cell>
          <cell r="I109">
            <v>179982</v>
          </cell>
          <cell r="J109">
            <v>179982</v>
          </cell>
          <cell r="K109">
            <v>159189</v>
          </cell>
          <cell r="L109">
            <v>159189</v>
          </cell>
          <cell r="M109">
            <v>0</v>
          </cell>
          <cell r="N109">
            <v>159189</v>
          </cell>
          <cell r="O109">
            <v>159189</v>
          </cell>
          <cell r="P109">
            <v>159189</v>
          </cell>
          <cell r="Q109">
            <v>10150</v>
          </cell>
        </row>
        <row r="110">
          <cell r="C110">
            <v>119</v>
          </cell>
          <cell r="D110" t="str">
            <v>M</v>
          </cell>
          <cell r="E110">
            <v>54</v>
          </cell>
          <cell r="F110">
            <v>19.388999999999999</v>
          </cell>
          <cell r="G110">
            <v>13158</v>
          </cell>
          <cell r="H110">
            <v>255123</v>
          </cell>
          <cell r="I110">
            <v>202926</v>
          </cell>
          <cell r="J110">
            <v>202926</v>
          </cell>
          <cell r="K110">
            <v>56389</v>
          </cell>
          <cell r="L110">
            <v>56389</v>
          </cell>
          <cell r="M110">
            <v>0</v>
          </cell>
          <cell r="N110">
            <v>56389</v>
          </cell>
          <cell r="O110">
            <v>56389</v>
          </cell>
          <cell r="P110">
            <v>56389</v>
          </cell>
          <cell r="Q110">
            <v>10339</v>
          </cell>
        </row>
        <row r="111">
          <cell r="C111">
            <v>120</v>
          </cell>
          <cell r="D111" t="str">
            <v>M</v>
          </cell>
          <cell r="E111">
            <v>52</v>
          </cell>
          <cell r="F111">
            <v>15.726000000000001</v>
          </cell>
          <cell r="G111">
            <v>13556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C112">
            <v>121</v>
          </cell>
          <cell r="D112" t="str">
            <v>M</v>
          </cell>
          <cell r="E112">
            <v>58</v>
          </cell>
          <cell r="F112">
            <v>34.101999999999997</v>
          </cell>
          <cell r="G112">
            <v>17541</v>
          </cell>
          <cell r="H112">
            <v>299091</v>
          </cell>
          <cell r="I112">
            <v>193265</v>
          </cell>
          <cell r="J112">
            <v>193265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5601</v>
          </cell>
        </row>
        <row r="113">
          <cell r="C113">
            <v>122</v>
          </cell>
          <cell r="D113" t="str">
            <v>M</v>
          </cell>
          <cell r="E113">
            <v>63</v>
          </cell>
          <cell r="F113">
            <v>21.504999999999999</v>
          </cell>
          <cell r="G113">
            <v>16744</v>
          </cell>
          <cell r="H113">
            <v>360088</v>
          </cell>
          <cell r="I113">
            <v>367178</v>
          </cell>
          <cell r="J113">
            <v>367178</v>
          </cell>
          <cell r="K113">
            <v>332464</v>
          </cell>
          <cell r="L113">
            <v>332464</v>
          </cell>
          <cell r="M113">
            <v>0</v>
          </cell>
          <cell r="N113">
            <v>332464</v>
          </cell>
          <cell r="O113">
            <v>332464</v>
          </cell>
          <cell r="P113">
            <v>332464</v>
          </cell>
          <cell r="Q113">
            <v>16896</v>
          </cell>
        </row>
        <row r="114">
          <cell r="C114">
            <v>123</v>
          </cell>
          <cell r="D114" t="str">
            <v>M</v>
          </cell>
          <cell r="E114">
            <v>34</v>
          </cell>
          <cell r="F114">
            <v>8.4130000000000003</v>
          </cell>
          <cell r="G114">
            <v>5906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C115">
            <v>124</v>
          </cell>
          <cell r="D115" t="str">
            <v>M</v>
          </cell>
          <cell r="E115">
            <v>42</v>
          </cell>
          <cell r="F115">
            <v>12.01</v>
          </cell>
          <cell r="G115">
            <v>4313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>
            <v>125</v>
          </cell>
          <cell r="D116" t="str">
            <v>F</v>
          </cell>
          <cell r="E116">
            <v>48</v>
          </cell>
          <cell r="F116">
            <v>11.670999999999999</v>
          </cell>
          <cell r="G116">
            <v>4313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C117">
            <v>126</v>
          </cell>
          <cell r="D117" t="str">
            <v>F</v>
          </cell>
          <cell r="E117">
            <v>62</v>
          </cell>
          <cell r="F117">
            <v>9.8420000000000005</v>
          </cell>
          <cell r="G117">
            <v>5030</v>
          </cell>
          <cell r="H117">
            <v>49505</v>
          </cell>
          <cell r="I117">
            <v>46036</v>
          </cell>
          <cell r="J117">
            <v>46036</v>
          </cell>
          <cell r="K117">
            <v>16864</v>
          </cell>
          <cell r="L117">
            <v>16864</v>
          </cell>
          <cell r="M117">
            <v>0</v>
          </cell>
          <cell r="N117">
            <v>16864</v>
          </cell>
          <cell r="O117">
            <v>16864</v>
          </cell>
          <cell r="P117">
            <v>16864</v>
          </cell>
          <cell r="Q117">
            <v>4631</v>
          </cell>
        </row>
        <row r="118">
          <cell r="C118">
            <v>129</v>
          </cell>
          <cell r="D118" t="str">
            <v>M</v>
          </cell>
          <cell r="E118">
            <v>61</v>
          </cell>
          <cell r="F118">
            <v>10.288</v>
          </cell>
          <cell r="G118">
            <v>5588</v>
          </cell>
          <cell r="H118">
            <v>57489</v>
          </cell>
          <cell r="I118">
            <v>47161</v>
          </cell>
          <cell r="J118">
            <v>47161</v>
          </cell>
          <cell r="K118">
            <v>19745</v>
          </cell>
          <cell r="L118">
            <v>19745</v>
          </cell>
          <cell r="M118">
            <v>0</v>
          </cell>
          <cell r="N118">
            <v>19745</v>
          </cell>
          <cell r="O118">
            <v>19745</v>
          </cell>
          <cell r="P118">
            <v>19745</v>
          </cell>
          <cell r="Q118">
            <v>4532</v>
          </cell>
        </row>
        <row r="119">
          <cell r="C119">
            <v>130</v>
          </cell>
          <cell r="D119" t="str">
            <v>F</v>
          </cell>
          <cell r="E119">
            <v>52</v>
          </cell>
          <cell r="F119">
            <v>10.672000000000001</v>
          </cell>
          <cell r="G119">
            <v>5787</v>
          </cell>
          <cell r="H119">
            <v>61757</v>
          </cell>
          <cell r="I119">
            <v>38986</v>
          </cell>
          <cell r="J119">
            <v>38986</v>
          </cell>
          <cell r="K119">
            <v>20210</v>
          </cell>
          <cell r="L119">
            <v>20210</v>
          </cell>
          <cell r="M119">
            <v>0</v>
          </cell>
          <cell r="N119">
            <v>20210</v>
          </cell>
          <cell r="O119">
            <v>20210</v>
          </cell>
          <cell r="P119">
            <v>20210</v>
          </cell>
          <cell r="Q119">
            <v>3609</v>
          </cell>
        </row>
        <row r="120">
          <cell r="C120">
            <v>131</v>
          </cell>
          <cell r="D120" t="str">
            <v>F</v>
          </cell>
          <cell r="E120">
            <v>47</v>
          </cell>
          <cell r="F120">
            <v>10.672000000000001</v>
          </cell>
          <cell r="G120">
            <v>11166</v>
          </cell>
          <cell r="H120">
            <v>59581</v>
          </cell>
          <cell r="I120">
            <v>23362</v>
          </cell>
          <cell r="J120">
            <v>23362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2163</v>
          </cell>
        </row>
        <row r="121">
          <cell r="C121">
            <v>132</v>
          </cell>
          <cell r="D121" t="str">
            <v>F</v>
          </cell>
          <cell r="E121">
            <v>41</v>
          </cell>
          <cell r="F121">
            <v>10.672000000000001</v>
          </cell>
          <cell r="G121">
            <v>5428</v>
          </cell>
          <cell r="H121">
            <v>57930</v>
          </cell>
          <cell r="I121">
            <v>31796</v>
          </cell>
          <cell r="J121">
            <v>31796</v>
          </cell>
          <cell r="K121">
            <v>19061</v>
          </cell>
          <cell r="L121">
            <v>19061</v>
          </cell>
          <cell r="M121">
            <v>0</v>
          </cell>
          <cell r="N121">
            <v>19061</v>
          </cell>
          <cell r="O121">
            <v>19061</v>
          </cell>
          <cell r="P121">
            <v>19061</v>
          </cell>
          <cell r="Q121">
            <v>2943</v>
          </cell>
        </row>
        <row r="122">
          <cell r="C122">
            <v>133</v>
          </cell>
          <cell r="D122" t="str">
            <v>M</v>
          </cell>
          <cell r="E122">
            <v>54</v>
          </cell>
          <cell r="F122">
            <v>10.19</v>
          </cell>
          <cell r="G122">
            <v>11963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C123">
            <v>134</v>
          </cell>
          <cell r="D123" t="str">
            <v>F</v>
          </cell>
          <cell r="E123">
            <v>51</v>
          </cell>
          <cell r="F123">
            <v>10.672000000000001</v>
          </cell>
          <cell r="G123">
            <v>5428</v>
          </cell>
          <cell r="H123">
            <v>57930</v>
          </cell>
          <cell r="I123">
            <v>48523</v>
          </cell>
          <cell r="J123">
            <v>48523</v>
          </cell>
          <cell r="K123">
            <v>25612</v>
          </cell>
          <cell r="L123">
            <v>25612</v>
          </cell>
          <cell r="M123">
            <v>0</v>
          </cell>
          <cell r="N123">
            <v>25612</v>
          </cell>
          <cell r="O123">
            <v>25612</v>
          </cell>
          <cell r="P123">
            <v>25612</v>
          </cell>
          <cell r="Q123">
            <v>4492</v>
          </cell>
        </row>
        <row r="124">
          <cell r="C124">
            <v>135</v>
          </cell>
          <cell r="D124" t="str">
            <v>F</v>
          </cell>
          <cell r="E124">
            <v>38</v>
          </cell>
          <cell r="F124">
            <v>10.672000000000001</v>
          </cell>
          <cell r="G124">
            <v>8775</v>
          </cell>
          <cell r="H124">
            <v>93648</v>
          </cell>
          <cell r="I124">
            <v>55344</v>
          </cell>
          <cell r="J124">
            <v>55344</v>
          </cell>
          <cell r="K124">
            <v>36553</v>
          </cell>
          <cell r="L124">
            <v>36553</v>
          </cell>
          <cell r="M124">
            <v>0</v>
          </cell>
          <cell r="N124">
            <v>36553</v>
          </cell>
          <cell r="O124">
            <v>36553</v>
          </cell>
          <cell r="P124">
            <v>36553</v>
          </cell>
          <cell r="Q124">
            <v>5125</v>
          </cell>
        </row>
        <row r="125">
          <cell r="C125">
            <v>136</v>
          </cell>
          <cell r="D125" t="str">
            <v>F</v>
          </cell>
          <cell r="E125">
            <v>47</v>
          </cell>
          <cell r="F125">
            <v>10.672000000000001</v>
          </cell>
          <cell r="G125">
            <v>5667</v>
          </cell>
          <cell r="H125">
            <v>60481</v>
          </cell>
          <cell r="I125">
            <v>33920</v>
          </cell>
          <cell r="J125">
            <v>33920</v>
          </cell>
          <cell r="K125">
            <v>18866</v>
          </cell>
          <cell r="L125">
            <v>18866</v>
          </cell>
          <cell r="M125">
            <v>0</v>
          </cell>
          <cell r="N125">
            <v>18866</v>
          </cell>
          <cell r="O125">
            <v>18866</v>
          </cell>
          <cell r="P125">
            <v>18866</v>
          </cell>
          <cell r="Q125">
            <v>3140</v>
          </cell>
        </row>
        <row r="126">
          <cell r="C126">
            <v>137</v>
          </cell>
          <cell r="D126" t="str">
            <v>M</v>
          </cell>
          <cell r="E126">
            <v>60</v>
          </cell>
          <cell r="F126">
            <v>10.672000000000001</v>
          </cell>
          <cell r="G126">
            <v>8357</v>
          </cell>
          <cell r="H126">
            <v>89183</v>
          </cell>
          <cell r="I126">
            <v>91993</v>
          </cell>
          <cell r="J126">
            <v>91993</v>
          </cell>
          <cell r="K126">
            <v>48984</v>
          </cell>
          <cell r="L126">
            <v>48984</v>
          </cell>
          <cell r="M126">
            <v>0</v>
          </cell>
          <cell r="N126">
            <v>48984</v>
          </cell>
          <cell r="O126">
            <v>48984</v>
          </cell>
          <cell r="P126">
            <v>48984</v>
          </cell>
          <cell r="Q126">
            <v>8522</v>
          </cell>
        </row>
        <row r="127">
          <cell r="C127">
            <v>138</v>
          </cell>
          <cell r="D127" t="str">
            <v>M</v>
          </cell>
          <cell r="E127">
            <v>56</v>
          </cell>
          <cell r="F127">
            <v>8.8480000000000008</v>
          </cell>
          <cell r="G127">
            <v>17939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>
            <v>139</v>
          </cell>
          <cell r="D128" t="str">
            <v>M</v>
          </cell>
          <cell r="E128">
            <v>50</v>
          </cell>
          <cell r="F128">
            <v>10.672000000000001</v>
          </cell>
          <cell r="G128">
            <v>8775</v>
          </cell>
          <cell r="H128">
            <v>46824</v>
          </cell>
          <cell r="I128">
            <v>19959</v>
          </cell>
          <cell r="J128">
            <v>19959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1847</v>
          </cell>
        </row>
        <row r="129">
          <cell r="C129">
            <v>140</v>
          </cell>
          <cell r="D129" t="str">
            <v>F</v>
          </cell>
          <cell r="E129">
            <v>49</v>
          </cell>
          <cell r="F129">
            <v>7.8630000000000004</v>
          </cell>
          <cell r="G129">
            <v>5747</v>
          </cell>
          <cell r="H129">
            <v>45188</v>
          </cell>
          <cell r="I129">
            <v>24472</v>
          </cell>
          <cell r="J129">
            <v>24472</v>
          </cell>
          <cell r="K129">
            <v>10661</v>
          </cell>
          <cell r="L129">
            <v>10661</v>
          </cell>
          <cell r="M129">
            <v>0</v>
          </cell>
          <cell r="N129">
            <v>10661</v>
          </cell>
          <cell r="O129">
            <v>10661</v>
          </cell>
          <cell r="P129">
            <v>10661</v>
          </cell>
          <cell r="Q129">
            <v>3075</v>
          </cell>
        </row>
        <row r="130">
          <cell r="C130">
            <v>142</v>
          </cell>
          <cell r="D130" t="str">
            <v>M</v>
          </cell>
          <cell r="E130">
            <v>57</v>
          </cell>
          <cell r="F130">
            <v>8.3689999999999998</v>
          </cell>
          <cell r="G130">
            <v>7978</v>
          </cell>
          <cell r="H130">
            <v>66774</v>
          </cell>
          <cell r="I130">
            <v>59151</v>
          </cell>
          <cell r="J130">
            <v>59151</v>
          </cell>
          <cell r="K130">
            <v>11999</v>
          </cell>
          <cell r="L130">
            <v>11999</v>
          </cell>
          <cell r="M130">
            <v>0</v>
          </cell>
          <cell r="N130">
            <v>11999</v>
          </cell>
          <cell r="O130">
            <v>11999</v>
          </cell>
          <cell r="P130">
            <v>11999</v>
          </cell>
          <cell r="Q130">
            <v>6982</v>
          </cell>
        </row>
        <row r="131">
          <cell r="C131">
            <v>143</v>
          </cell>
          <cell r="D131" t="str">
            <v>F</v>
          </cell>
          <cell r="E131">
            <v>46</v>
          </cell>
          <cell r="F131">
            <v>8.3010000000000002</v>
          </cell>
          <cell r="G131">
            <v>5269</v>
          </cell>
          <cell r="H131">
            <v>43737</v>
          </cell>
          <cell r="I131">
            <v>19105</v>
          </cell>
          <cell r="J131">
            <v>19105</v>
          </cell>
          <cell r="K131">
            <v>4417</v>
          </cell>
          <cell r="L131">
            <v>4417</v>
          </cell>
          <cell r="M131">
            <v>0</v>
          </cell>
          <cell r="N131">
            <v>4417</v>
          </cell>
          <cell r="O131">
            <v>4417</v>
          </cell>
          <cell r="P131">
            <v>4417</v>
          </cell>
          <cell r="Q131">
            <v>2274</v>
          </cell>
        </row>
        <row r="132">
          <cell r="C132">
            <v>144</v>
          </cell>
          <cell r="D132" t="str">
            <v>M</v>
          </cell>
          <cell r="E132">
            <v>44</v>
          </cell>
          <cell r="F132">
            <v>8.5030000000000001</v>
          </cell>
          <cell r="G132">
            <v>19106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C133">
            <v>146</v>
          </cell>
          <cell r="D133" t="str">
            <v>F</v>
          </cell>
          <cell r="E133">
            <v>35</v>
          </cell>
          <cell r="F133">
            <v>8.1120000000000001</v>
          </cell>
          <cell r="G133">
            <v>8177</v>
          </cell>
          <cell r="H133">
            <v>66337</v>
          </cell>
          <cell r="I133">
            <v>30122</v>
          </cell>
          <cell r="J133">
            <v>30122</v>
          </cell>
          <cell r="K133">
            <v>11130</v>
          </cell>
          <cell r="L133">
            <v>11130</v>
          </cell>
          <cell r="M133">
            <v>0</v>
          </cell>
          <cell r="N133">
            <v>11130</v>
          </cell>
          <cell r="O133">
            <v>11130</v>
          </cell>
          <cell r="P133">
            <v>11130</v>
          </cell>
          <cell r="Q133">
            <v>3670</v>
          </cell>
        </row>
        <row r="134">
          <cell r="C134">
            <v>147</v>
          </cell>
          <cell r="D134" t="str">
            <v>M</v>
          </cell>
          <cell r="E134">
            <v>43</v>
          </cell>
          <cell r="F134">
            <v>8.2509999999999994</v>
          </cell>
          <cell r="G134">
            <v>9173</v>
          </cell>
          <cell r="H134">
            <v>75698</v>
          </cell>
          <cell r="I134">
            <v>34312</v>
          </cell>
          <cell r="J134">
            <v>34312</v>
          </cell>
          <cell r="K134">
            <v>12657</v>
          </cell>
          <cell r="L134">
            <v>12657</v>
          </cell>
          <cell r="M134">
            <v>0</v>
          </cell>
          <cell r="N134">
            <v>12657</v>
          </cell>
          <cell r="O134">
            <v>12657</v>
          </cell>
          <cell r="P134">
            <v>12657</v>
          </cell>
          <cell r="Q134">
            <v>4108</v>
          </cell>
        </row>
        <row r="135">
          <cell r="C135">
            <v>148</v>
          </cell>
          <cell r="D135" t="str">
            <v>M</v>
          </cell>
          <cell r="E135">
            <v>47</v>
          </cell>
          <cell r="F135">
            <v>8.2319999999999993</v>
          </cell>
          <cell r="G135">
            <v>7181</v>
          </cell>
          <cell r="H135">
            <v>59121</v>
          </cell>
          <cell r="I135">
            <v>28364</v>
          </cell>
          <cell r="J135">
            <v>28364</v>
          </cell>
          <cell r="K135">
            <v>10505</v>
          </cell>
          <cell r="L135">
            <v>10505</v>
          </cell>
          <cell r="M135">
            <v>0</v>
          </cell>
          <cell r="N135">
            <v>10505</v>
          </cell>
          <cell r="O135">
            <v>10505</v>
          </cell>
          <cell r="P135">
            <v>10505</v>
          </cell>
          <cell r="Q135">
            <v>3402</v>
          </cell>
        </row>
        <row r="136">
          <cell r="C136">
            <v>149</v>
          </cell>
          <cell r="D136" t="str">
            <v>F</v>
          </cell>
          <cell r="E136">
            <v>41</v>
          </cell>
          <cell r="F136">
            <v>8.1340000000000003</v>
          </cell>
          <cell r="G136">
            <v>5109</v>
          </cell>
          <cell r="H136">
            <v>41560</v>
          </cell>
          <cell r="I136">
            <v>18462</v>
          </cell>
          <cell r="J136">
            <v>18462</v>
          </cell>
          <cell r="K136">
            <v>6507</v>
          </cell>
          <cell r="L136">
            <v>6507</v>
          </cell>
          <cell r="M136">
            <v>0</v>
          </cell>
          <cell r="N136">
            <v>6507</v>
          </cell>
          <cell r="O136">
            <v>6507</v>
          </cell>
          <cell r="P136">
            <v>6507</v>
          </cell>
          <cell r="Q136">
            <v>2242</v>
          </cell>
        </row>
        <row r="137">
          <cell r="C137">
            <v>150</v>
          </cell>
          <cell r="D137" t="str">
            <v>F</v>
          </cell>
          <cell r="E137">
            <v>32</v>
          </cell>
          <cell r="F137">
            <v>8.1310000000000002</v>
          </cell>
          <cell r="G137">
            <v>5269</v>
          </cell>
          <cell r="H137">
            <v>42842</v>
          </cell>
          <cell r="I137">
            <v>19225</v>
          </cell>
          <cell r="J137">
            <v>19225</v>
          </cell>
          <cell r="K137">
            <v>6719</v>
          </cell>
          <cell r="L137">
            <v>6719</v>
          </cell>
          <cell r="M137">
            <v>0</v>
          </cell>
          <cell r="N137">
            <v>6719</v>
          </cell>
          <cell r="O137">
            <v>6719</v>
          </cell>
          <cell r="P137">
            <v>6719</v>
          </cell>
          <cell r="Q137">
            <v>2338</v>
          </cell>
        </row>
        <row r="138">
          <cell r="C138" t="str">
            <v>All</v>
          </cell>
          <cell r="G138">
            <v>1389992</v>
          </cell>
          <cell r="H138">
            <v>12328915</v>
          </cell>
          <cell r="I138">
            <v>10368272</v>
          </cell>
          <cell r="J138">
            <v>10368272</v>
          </cell>
          <cell r="K138">
            <v>7365822</v>
          </cell>
          <cell r="L138">
            <v>7365822</v>
          </cell>
          <cell r="M138">
            <v>0</v>
          </cell>
          <cell r="N138">
            <v>7365822</v>
          </cell>
          <cell r="O138">
            <v>7365822</v>
          </cell>
          <cell r="P138">
            <v>7365822</v>
          </cell>
          <cell r="Q138">
            <v>603060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babilities"/>
      <sheetName val="Actuarial lp Liability"/>
      <sheetName val="Actuarial lp Asset"/>
      <sheetName val="Old_results "/>
      <sheetName val="Final results"/>
      <sheetName val="31.03.2020ביורים "/>
      <sheetName val="Questionnaire"/>
      <sheetName val="Mannual_Client"/>
      <sheetName val="General_Parameters"/>
      <sheetName val="ביאורים 2019"/>
      <sheetName val="Input_Data_Client"/>
      <sheetName val="Input_Data_Variance"/>
      <sheetName val="Time_Changes_Client"/>
      <sheetName val="Time_Changes_Variance"/>
      <sheetName val="גיליון1"/>
      <sheetName val="Severance_Pay_Fund_Client"/>
      <sheetName val="Severance_Pay_Fund_Client (2)"/>
      <sheetName val="Severance_Pay_Fund_Variance"/>
      <sheetName val="Severance_Pay_Fund_Variance _cp"/>
      <sheetName val="Input_History_Client"/>
      <sheetName val="Input_History_Variance"/>
      <sheetName val="Severance_Central_fund_Client"/>
      <sheetName val="Additional_Company_Data"/>
      <sheetName val="RF "/>
      <sheetName val="prob_cp"/>
      <sheetName val="PROBֹCALC"/>
      <sheetName val="PROB 2"/>
      <sheetName val="PROB"/>
      <sheetName val="scenario_prob"/>
      <sheetName val="mortality"/>
      <sheetName val="compare"/>
      <sheetName val="run_scenario"/>
      <sheetName val="RF_cp"/>
      <sheetName val="Input_Data_Variance_CP"/>
      <sheetName val="Severance_Pay_Fund_Variance_CP"/>
      <sheetName val="scenario_prob_CP"/>
      <sheetName val="mortality_CP"/>
      <sheetName val="mortality_up"/>
      <sheetName val="mortality_down"/>
      <sheetName val="נספחים"/>
      <sheetName val="prob_mor_down"/>
      <sheetName val="prob_mor_up"/>
      <sheetName val="cp_sens"/>
      <sheetName val="SGR check"/>
      <sheetName val="Manual_Variance"/>
    </sheetNames>
    <sheetDataSet>
      <sheetData sheetId="0"/>
      <sheetData sheetId="1"/>
      <sheetData sheetId="2"/>
      <sheetData sheetId="3"/>
      <sheetData sheetId="4">
        <row r="24">
          <cell r="C24" t="str">
            <v>Unique Identity Number</v>
          </cell>
          <cell r="D24" t="str">
            <v>Gender</v>
          </cell>
          <cell r="E24" t="str">
            <v>Age</v>
          </cell>
          <cell r="F24" t="str">
            <v>Seniority in Yrs</v>
          </cell>
          <cell r="G24">
            <v>12521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C25">
            <v>1</v>
          </cell>
          <cell r="D25" t="str">
            <v>M</v>
          </cell>
          <cell r="E25">
            <v>39</v>
          </cell>
          <cell r="F25">
            <v>11.561</v>
          </cell>
        </row>
        <row r="26">
          <cell r="C26">
            <v>7</v>
          </cell>
          <cell r="D26" t="str">
            <v>F</v>
          </cell>
          <cell r="E26">
            <v>56</v>
          </cell>
          <cell r="F26">
            <v>9.5</v>
          </cell>
          <cell r="G26">
            <v>35831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C27">
            <v>9</v>
          </cell>
          <cell r="D27" t="str">
            <v>F</v>
          </cell>
          <cell r="E27">
            <v>51</v>
          </cell>
          <cell r="F27">
            <v>23.591999999999999</v>
          </cell>
          <cell r="G27">
            <v>17695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C28">
            <v>11</v>
          </cell>
          <cell r="D28" t="str">
            <v>M</v>
          </cell>
          <cell r="E28">
            <v>51</v>
          </cell>
          <cell r="F28">
            <v>22.838999999999999</v>
          </cell>
          <cell r="G28">
            <v>34897</v>
          </cell>
          <cell r="H28">
            <v>797020</v>
          </cell>
          <cell r="I28">
            <v>488328</v>
          </cell>
          <cell r="J28">
            <v>488328</v>
          </cell>
          <cell r="K28">
            <v>321224</v>
          </cell>
          <cell r="L28">
            <v>321224</v>
          </cell>
          <cell r="M28">
            <v>0</v>
          </cell>
          <cell r="N28">
            <v>321224</v>
          </cell>
          <cell r="O28">
            <v>321224</v>
          </cell>
          <cell r="P28">
            <v>321224</v>
          </cell>
          <cell r="Q28">
            <v>21115</v>
          </cell>
        </row>
        <row r="29">
          <cell r="C29">
            <v>13</v>
          </cell>
          <cell r="D29" t="str">
            <v>M</v>
          </cell>
          <cell r="E29">
            <v>51</v>
          </cell>
          <cell r="F29">
            <v>24.974</v>
          </cell>
          <cell r="G29">
            <v>36995</v>
          </cell>
          <cell r="H29">
            <v>727135</v>
          </cell>
          <cell r="I29">
            <v>405327</v>
          </cell>
          <cell r="J29">
            <v>405327</v>
          </cell>
          <cell r="K29">
            <v>211331</v>
          </cell>
          <cell r="L29">
            <v>211331</v>
          </cell>
          <cell r="M29">
            <v>0</v>
          </cell>
          <cell r="N29">
            <v>211331</v>
          </cell>
          <cell r="O29">
            <v>211331</v>
          </cell>
          <cell r="P29">
            <v>211331</v>
          </cell>
          <cell r="Q29">
            <v>0</v>
          </cell>
        </row>
        <row r="30">
          <cell r="C30">
            <v>15</v>
          </cell>
          <cell r="D30" t="str">
            <v>M</v>
          </cell>
          <cell r="E30">
            <v>54</v>
          </cell>
          <cell r="F30">
            <v>13.888999999999999</v>
          </cell>
          <cell r="G30">
            <v>48043</v>
          </cell>
          <cell r="H30">
            <v>186837</v>
          </cell>
          <cell r="I30">
            <v>110458</v>
          </cell>
          <cell r="J30">
            <v>110458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7857</v>
          </cell>
        </row>
        <row r="31">
          <cell r="C31">
            <v>17</v>
          </cell>
          <cell r="D31" t="str">
            <v>F</v>
          </cell>
          <cell r="E31">
            <v>53</v>
          </cell>
          <cell r="F31">
            <v>18.954000000000001</v>
          </cell>
          <cell r="G31">
            <v>27205</v>
          </cell>
          <cell r="H31">
            <v>144383</v>
          </cell>
          <cell r="I31">
            <v>86362</v>
          </cell>
          <cell r="J31">
            <v>86362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4503</v>
          </cell>
        </row>
        <row r="32">
          <cell r="C32">
            <v>19</v>
          </cell>
          <cell r="D32" t="str">
            <v>M</v>
          </cell>
          <cell r="E32">
            <v>52</v>
          </cell>
          <cell r="F32">
            <v>8.1720000000000006</v>
          </cell>
          <cell r="G32">
            <v>32799</v>
          </cell>
          <cell r="H32">
            <v>79383</v>
          </cell>
          <cell r="I32">
            <v>61626</v>
          </cell>
          <cell r="J32">
            <v>61626</v>
          </cell>
          <cell r="K32">
            <v>42266</v>
          </cell>
          <cell r="L32">
            <v>42266</v>
          </cell>
          <cell r="M32">
            <v>0</v>
          </cell>
          <cell r="N32">
            <v>42266</v>
          </cell>
          <cell r="O32">
            <v>42266</v>
          </cell>
          <cell r="P32">
            <v>42266</v>
          </cell>
          <cell r="Q32">
            <v>0</v>
          </cell>
        </row>
        <row r="33">
          <cell r="C33">
            <v>21</v>
          </cell>
          <cell r="D33" t="str">
            <v>M</v>
          </cell>
          <cell r="E33">
            <v>52</v>
          </cell>
          <cell r="F33">
            <v>24.01</v>
          </cell>
          <cell r="G33">
            <v>30702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C34">
            <v>25</v>
          </cell>
          <cell r="D34" t="str">
            <v>M</v>
          </cell>
          <cell r="E34">
            <v>49</v>
          </cell>
          <cell r="F34">
            <v>14.176</v>
          </cell>
          <cell r="G34">
            <v>14619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C35">
            <v>27</v>
          </cell>
          <cell r="D35" t="str">
            <v>M</v>
          </cell>
          <cell r="E35">
            <v>47</v>
          </cell>
          <cell r="F35">
            <v>18.954000000000001</v>
          </cell>
          <cell r="G35">
            <v>18115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C36">
            <v>31</v>
          </cell>
          <cell r="D36" t="str">
            <v>F</v>
          </cell>
          <cell r="E36">
            <v>39</v>
          </cell>
          <cell r="F36">
            <v>8.8480000000000008</v>
          </cell>
          <cell r="G36">
            <v>12819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C37">
            <v>33</v>
          </cell>
          <cell r="D37" t="str">
            <v>F</v>
          </cell>
          <cell r="E37">
            <v>38</v>
          </cell>
          <cell r="F37">
            <v>17.920999999999999</v>
          </cell>
          <cell r="G37">
            <v>12066</v>
          </cell>
          <cell r="H37">
            <v>216252</v>
          </cell>
          <cell r="I37">
            <v>114724</v>
          </cell>
          <cell r="J37">
            <v>114724</v>
          </cell>
          <cell r="K37">
            <v>67626</v>
          </cell>
          <cell r="L37">
            <v>67626</v>
          </cell>
          <cell r="M37">
            <v>0</v>
          </cell>
          <cell r="N37">
            <v>67626</v>
          </cell>
          <cell r="O37">
            <v>67626</v>
          </cell>
          <cell r="P37">
            <v>67626</v>
          </cell>
          <cell r="Q37">
            <v>6329</v>
          </cell>
        </row>
        <row r="38">
          <cell r="C38">
            <v>37</v>
          </cell>
          <cell r="D38" t="str">
            <v>M</v>
          </cell>
          <cell r="E38">
            <v>48</v>
          </cell>
          <cell r="F38">
            <v>18.672000000000001</v>
          </cell>
          <cell r="G38">
            <v>25807</v>
          </cell>
          <cell r="H38">
            <v>326991</v>
          </cell>
          <cell r="I38">
            <v>214245</v>
          </cell>
          <cell r="J38">
            <v>214245</v>
          </cell>
          <cell r="K38">
            <v>126799</v>
          </cell>
          <cell r="L38">
            <v>126799</v>
          </cell>
          <cell r="M38">
            <v>0</v>
          </cell>
          <cell r="N38">
            <v>126799</v>
          </cell>
          <cell r="O38">
            <v>126799</v>
          </cell>
          <cell r="P38">
            <v>126799</v>
          </cell>
          <cell r="Q38">
            <v>0</v>
          </cell>
        </row>
        <row r="39">
          <cell r="C39">
            <v>39</v>
          </cell>
          <cell r="D39" t="str">
            <v>M</v>
          </cell>
          <cell r="E39">
            <v>40</v>
          </cell>
          <cell r="F39">
            <v>12.432</v>
          </cell>
          <cell r="G39">
            <v>16017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C40">
            <v>41</v>
          </cell>
          <cell r="D40" t="str">
            <v>F</v>
          </cell>
          <cell r="E40">
            <v>55</v>
          </cell>
          <cell r="F40">
            <v>23.753</v>
          </cell>
          <cell r="G40">
            <v>19234</v>
          </cell>
          <cell r="H40">
            <v>256344</v>
          </cell>
          <cell r="I40">
            <v>216287</v>
          </cell>
          <cell r="J40">
            <v>216287</v>
          </cell>
          <cell r="K40">
            <v>130000</v>
          </cell>
          <cell r="L40">
            <v>130000</v>
          </cell>
          <cell r="M40">
            <v>0</v>
          </cell>
          <cell r="N40">
            <v>130000</v>
          </cell>
          <cell r="O40">
            <v>130000</v>
          </cell>
          <cell r="P40">
            <v>130000</v>
          </cell>
          <cell r="Q40">
            <v>0</v>
          </cell>
        </row>
        <row r="41">
          <cell r="C41">
            <v>43</v>
          </cell>
          <cell r="D41" t="str">
            <v>F</v>
          </cell>
          <cell r="E41">
            <v>42</v>
          </cell>
          <cell r="F41">
            <v>12.404999999999999</v>
          </cell>
          <cell r="G41">
            <v>19513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C42">
            <v>45</v>
          </cell>
          <cell r="D42" t="str">
            <v>F</v>
          </cell>
          <cell r="E42">
            <v>25</v>
          </cell>
          <cell r="F42">
            <v>5.3250000000000002</v>
          </cell>
          <cell r="G42">
            <v>12171</v>
          </cell>
          <cell r="H42">
            <v>18148</v>
          </cell>
          <cell r="I42">
            <v>5203</v>
          </cell>
          <cell r="J42">
            <v>5203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967</v>
          </cell>
        </row>
        <row r="43">
          <cell r="C43">
            <v>47</v>
          </cell>
          <cell r="D43" t="str">
            <v>F</v>
          </cell>
          <cell r="E43">
            <v>56</v>
          </cell>
          <cell r="F43">
            <v>11.359</v>
          </cell>
          <cell r="G43">
            <v>15318</v>
          </cell>
          <cell r="H43">
            <v>48720</v>
          </cell>
          <cell r="I43">
            <v>29232</v>
          </cell>
          <cell r="J43">
            <v>29232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2543</v>
          </cell>
        </row>
        <row r="44">
          <cell r="C44">
            <v>71</v>
          </cell>
          <cell r="D44" t="str">
            <v>M</v>
          </cell>
          <cell r="E44">
            <v>54</v>
          </cell>
          <cell r="F44">
            <v>7.7530000000000001</v>
          </cell>
          <cell r="G44">
            <v>34897</v>
          </cell>
          <cell r="H44">
            <v>75762</v>
          </cell>
          <cell r="I44">
            <v>44782</v>
          </cell>
          <cell r="J44">
            <v>44782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5706</v>
          </cell>
        </row>
        <row r="45">
          <cell r="C45">
            <v>73</v>
          </cell>
          <cell r="D45" t="str">
            <v>F</v>
          </cell>
          <cell r="E45">
            <v>51</v>
          </cell>
          <cell r="F45">
            <v>24.041</v>
          </cell>
          <cell r="G45">
            <v>21192</v>
          </cell>
          <cell r="H45">
            <v>286790</v>
          </cell>
          <cell r="I45">
            <v>201209</v>
          </cell>
          <cell r="J45">
            <v>201209</v>
          </cell>
          <cell r="K45">
            <v>101439</v>
          </cell>
          <cell r="L45">
            <v>101439</v>
          </cell>
          <cell r="M45">
            <v>0</v>
          </cell>
          <cell r="N45">
            <v>101439</v>
          </cell>
          <cell r="O45">
            <v>101439</v>
          </cell>
          <cell r="P45">
            <v>101439</v>
          </cell>
          <cell r="Q45">
            <v>0</v>
          </cell>
        </row>
        <row r="46">
          <cell r="C46">
            <v>75</v>
          </cell>
          <cell r="D46" t="str">
            <v>F</v>
          </cell>
          <cell r="E46">
            <v>50</v>
          </cell>
          <cell r="F46">
            <v>18.715</v>
          </cell>
          <cell r="G46">
            <v>23178</v>
          </cell>
          <cell r="H46">
            <v>433789</v>
          </cell>
          <cell r="I46">
            <v>266594</v>
          </cell>
          <cell r="J46">
            <v>266594</v>
          </cell>
          <cell r="K46">
            <v>169065</v>
          </cell>
          <cell r="L46">
            <v>169065</v>
          </cell>
          <cell r="M46">
            <v>0</v>
          </cell>
          <cell r="N46">
            <v>169065</v>
          </cell>
          <cell r="O46">
            <v>169065</v>
          </cell>
          <cell r="P46">
            <v>169065</v>
          </cell>
          <cell r="Q46">
            <v>14072</v>
          </cell>
        </row>
        <row r="47">
          <cell r="C47">
            <v>77</v>
          </cell>
          <cell r="D47" t="str">
            <v>F</v>
          </cell>
          <cell r="E47">
            <v>50</v>
          </cell>
          <cell r="F47">
            <v>10.093999999999999</v>
          </cell>
          <cell r="G47">
            <v>22422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>
            <v>79</v>
          </cell>
          <cell r="D48" t="str">
            <v>F</v>
          </cell>
          <cell r="E48">
            <v>53</v>
          </cell>
          <cell r="F48">
            <v>7.7149999999999999</v>
          </cell>
          <cell r="G48">
            <v>18395</v>
          </cell>
          <cell r="H48">
            <v>39737</v>
          </cell>
          <cell r="I48">
            <v>23777</v>
          </cell>
          <cell r="J48">
            <v>23777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3045</v>
          </cell>
        </row>
        <row r="49">
          <cell r="C49">
            <v>81</v>
          </cell>
          <cell r="D49" t="str">
            <v>F</v>
          </cell>
          <cell r="E49">
            <v>49</v>
          </cell>
          <cell r="F49">
            <v>20.454000000000001</v>
          </cell>
          <cell r="G49">
            <v>21903</v>
          </cell>
          <cell r="H49">
            <v>353422</v>
          </cell>
          <cell r="I49">
            <v>286218</v>
          </cell>
          <cell r="J49">
            <v>286218</v>
          </cell>
          <cell r="K49">
            <v>225000</v>
          </cell>
          <cell r="L49">
            <v>225000</v>
          </cell>
          <cell r="M49">
            <v>0</v>
          </cell>
          <cell r="N49">
            <v>225000</v>
          </cell>
          <cell r="O49">
            <v>225000</v>
          </cell>
          <cell r="P49">
            <v>225000</v>
          </cell>
          <cell r="Q49">
            <v>4907</v>
          </cell>
        </row>
        <row r="50">
          <cell r="C50">
            <v>85</v>
          </cell>
          <cell r="D50" t="str">
            <v>F</v>
          </cell>
          <cell r="E50">
            <v>47</v>
          </cell>
          <cell r="F50">
            <v>16.798999999999999</v>
          </cell>
          <cell r="G50">
            <v>13919</v>
          </cell>
          <cell r="H50">
            <v>112724</v>
          </cell>
          <cell r="I50">
            <v>67152</v>
          </cell>
          <cell r="J50">
            <v>67152</v>
          </cell>
          <cell r="K50">
            <v>30000</v>
          </cell>
          <cell r="L50">
            <v>30000</v>
          </cell>
          <cell r="M50">
            <v>0</v>
          </cell>
          <cell r="N50">
            <v>30000</v>
          </cell>
          <cell r="O50">
            <v>30000</v>
          </cell>
          <cell r="P50">
            <v>30000</v>
          </cell>
          <cell r="Q50">
            <v>2294</v>
          </cell>
        </row>
        <row r="51">
          <cell r="C51">
            <v>87</v>
          </cell>
          <cell r="D51" t="str">
            <v>M</v>
          </cell>
          <cell r="E51">
            <v>46</v>
          </cell>
          <cell r="F51">
            <v>14.061</v>
          </cell>
          <cell r="G51">
            <v>32100</v>
          </cell>
          <cell r="H51">
            <v>225689</v>
          </cell>
          <cell r="I51">
            <v>95648</v>
          </cell>
          <cell r="J51">
            <v>95648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6720</v>
          </cell>
        </row>
        <row r="52">
          <cell r="C52">
            <v>91</v>
          </cell>
          <cell r="D52" t="str">
            <v>F</v>
          </cell>
          <cell r="E52">
            <v>39</v>
          </cell>
          <cell r="F52">
            <v>14.379</v>
          </cell>
          <cell r="G52">
            <v>15486</v>
          </cell>
          <cell r="H52">
            <v>222672</v>
          </cell>
          <cell r="I52">
            <v>117075</v>
          </cell>
          <cell r="J52">
            <v>117075</v>
          </cell>
          <cell r="K52">
            <v>59173</v>
          </cell>
          <cell r="L52">
            <v>59173</v>
          </cell>
          <cell r="M52">
            <v>0</v>
          </cell>
          <cell r="N52">
            <v>59173</v>
          </cell>
          <cell r="O52">
            <v>59173</v>
          </cell>
          <cell r="P52">
            <v>59173</v>
          </cell>
          <cell r="Q52">
            <v>8047</v>
          </cell>
        </row>
        <row r="53">
          <cell r="C53">
            <v>93</v>
          </cell>
          <cell r="D53" t="str">
            <v>F</v>
          </cell>
          <cell r="E53">
            <v>48</v>
          </cell>
          <cell r="F53">
            <v>8.9220000000000006</v>
          </cell>
          <cell r="G53">
            <v>12974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C54">
            <v>95</v>
          </cell>
          <cell r="D54" t="str">
            <v>F</v>
          </cell>
          <cell r="E54">
            <v>40</v>
          </cell>
          <cell r="F54">
            <v>8.1639999999999997</v>
          </cell>
          <cell r="G54">
            <v>18954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C55">
            <v>97</v>
          </cell>
          <cell r="D55" t="str">
            <v>M</v>
          </cell>
          <cell r="E55">
            <v>40</v>
          </cell>
          <cell r="F55">
            <v>8.4459999999999997</v>
          </cell>
          <cell r="G55">
            <v>19849</v>
          </cell>
          <cell r="H55">
            <v>83825</v>
          </cell>
          <cell r="I55">
            <v>32163</v>
          </cell>
          <cell r="J55">
            <v>32163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3763</v>
          </cell>
        </row>
        <row r="56">
          <cell r="C56">
            <v>99</v>
          </cell>
          <cell r="D56" t="str">
            <v>F</v>
          </cell>
          <cell r="E56">
            <v>61</v>
          </cell>
          <cell r="F56">
            <v>19.292999999999999</v>
          </cell>
          <cell r="G56">
            <v>30785</v>
          </cell>
          <cell r="H56">
            <v>593963</v>
          </cell>
          <cell r="I56">
            <v>578423</v>
          </cell>
          <cell r="J56">
            <v>578423</v>
          </cell>
          <cell r="K56">
            <v>253598</v>
          </cell>
          <cell r="L56">
            <v>253598</v>
          </cell>
          <cell r="M56">
            <v>0</v>
          </cell>
          <cell r="N56">
            <v>253598</v>
          </cell>
          <cell r="O56">
            <v>253598</v>
          </cell>
          <cell r="P56">
            <v>253598</v>
          </cell>
          <cell r="Q56">
            <v>29669</v>
          </cell>
        </row>
        <row r="57">
          <cell r="C57">
            <v>101</v>
          </cell>
          <cell r="D57" t="str">
            <v>F</v>
          </cell>
          <cell r="E57">
            <v>41</v>
          </cell>
          <cell r="F57">
            <v>17.738</v>
          </cell>
          <cell r="G57">
            <v>34198</v>
          </cell>
          <cell r="H57">
            <v>258696</v>
          </cell>
          <cell r="I57">
            <v>219662</v>
          </cell>
          <cell r="J57">
            <v>219662</v>
          </cell>
          <cell r="K57">
            <v>200000</v>
          </cell>
          <cell r="L57">
            <v>200000</v>
          </cell>
          <cell r="M57">
            <v>0</v>
          </cell>
          <cell r="N57">
            <v>200000</v>
          </cell>
          <cell r="O57">
            <v>200000</v>
          </cell>
          <cell r="P57">
            <v>200000</v>
          </cell>
          <cell r="Q57">
            <v>0</v>
          </cell>
        </row>
        <row r="58">
          <cell r="C58">
            <v>103</v>
          </cell>
          <cell r="D58" t="str">
            <v>M</v>
          </cell>
          <cell r="E58">
            <v>36</v>
          </cell>
          <cell r="F58">
            <v>7.7939999999999996</v>
          </cell>
          <cell r="G58">
            <v>29792</v>
          </cell>
          <cell r="H58">
            <v>116111</v>
          </cell>
          <cell r="I58">
            <v>36001</v>
          </cell>
          <cell r="J58">
            <v>36001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4568</v>
          </cell>
        </row>
        <row r="59">
          <cell r="C59">
            <v>105</v>
          </cell>
          <cell r="D59" t="str">
            <v>M</v>
          </cell>
          <cell r="E59">
            <v>35</v>
          </cell>
          <cell r="F59">
            <v>8.2379999999999995</v>
          </cell>
          <cell r="G59">
            <v>18779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C60">
            <v>107</v>
          </cell>
          <cell r="D60" t="str">
            <v>M</v>
          </cell>
          <cell r="E60">
            <v>30</v>
          </cell>
          <cell r="F60">
            <v>8.4649999999999999</v>
          </cell>
          <cell r="G60">
            <v>27905</v>
          </cell>
          <cell r="H60">
            <v>118112</v>
          </cell>
          <cell r="I60">
            <v>34085</v>
          </cell>
          <cell r="J60">
            <v>34085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3983</v>
          </cell>
        </row>
        <row r="61">
          <cell r="C61">
            <v>109</v>
          </cell>
          <cell r="D61" t="str">
            <v>M</v>
          </cell>
          <cell r="E61">
            <v>46</v>
          </cell>
          <cell r="F61">
            <v>7.7750000000000004</v>
          </cell>
          <cell r="G61">
            <v>27695</v>
          </cell>
          <cell r="H61">
            <v>107670</v>
          </cell>
          <cell r="I61">
            <v>45644</v>
          </cell>
          <cell r="J61">
            <v>45644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5799</v>
          </cell>
        </row>
        <row r="62">
          <cell r="C62">
            <v>111</v>
          </cell>
          <cell r="D62" t="str">
            <v>F</v>
          </cell>
          <cell r="E62">
            <v>59</v>
          </cell>
          <cell r="F62">
            <v>21.504999999999999</v>
          </cell>
          <cell r="G62">
            <v>31261</v>
          </cell>
          <cell r="H62">
            <v>672292</v>
          </cell>
          <cell r="I62">
            <v>632971</v>
          </cell>
          <cell r="J62">
            <v>632971</v>
          </cell>
          <cell r="K62">
            <v>338130</v>
          </cell>
          <cell r="L62">
            <v>338130</v>
          </cell>
          <cell r="M62">
            <v>0</v>
          </cell>
          <cell r="N62">
            <v>338130</v>
          </cell>
          <cell r="O62">
            <v>338130</v>
          </cell>
          <cell r="P62">
            <v>338130</v>
          </cell>
          <cell r="Q62">
            <v>29113</v>
          </cell>
        </row>
        <row r="63">
          <cell r="C63">
            <v>113</v>
          </cell>
          <cell r="D63" t="str">
            <v>M</v>
          </cell>
          <cell r="E63">
            <v>35</v>
          </cell>
          <cell r="F63">
            <v>8.3010000000000002</v>
          </cell>
          <cell r="G63">
            <v>27345</v>
          </cell>
          <cell r="H63">
            <v>113498</v>
          </cell>
          <cell r="I63">
            <v>34032</v>
          </cell>
          <cell r="J63">
            <v>34032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4055</v>
          </cell>
        </row>
        <row r="64">
          <cell r="C64">
            <v>115</v>
          </cell>
          <cell r="D64" t="str">
            <v>F</v>
          </cell>
          <cell r="E64">
            <v>63</v>
          </cell>
          <cell r="F64">
            <v>20.974</v>
          </cell>
          <cell r="G64">
            <v>20213</v>
          </cell>
          <cell r="H64">
            <v>423954</v>
          </cell>
          <cell r="I64">
            <v>418761</v>
          </cell>
          <cell r="J64">
            <v>418761</v>
          </cell>
          <cell r="K64">
            <v>109892</v>
          </cell>
          <cell r="L64">
            <v>109892</v>
          </cell>
          <cell r="M64">
            <v>0</v>
          </cell>
          <cell r="N64">
            <v>109892</v>
          </cell>
          <cell r="O64">
            <v>109892</v>
          </cell>
          <cell r="P64">
            <v>109892</v>
          </cell>
          <cell r="Q64">
            <v>19786</v>
          </cell>
        </row>
        <row r="65">
          <cell r="C65">
            <v>117</v>
          </cell>
          <cell r="D65" t="str">
            <v>F</v>
          </cell>
          <cell r="E65">
            <v>60</v>
          </cell>
          <cell r="F65">
            <v>20.238</v>
          </cell>
          <cell r="G65">
            <v>26926</v>
          </cell>
          <cell r="H65">
            <v>544924</v>
          </cell>
          <cell r="I65">
            <v>465124</v>
          </cell>
          <cell r="J65">
            <v>465124</v>
          </cell>
          <cell r="K65">
            <v>139822</v>
          </cell>
          <cell r="L65">
            <v>139822</v>
          </cell>
          <cell r="M65">
            <v>0</v>
          </cell>
          <cell r="N65">
            <v>139822</v>
          </cell>
          <cell r="O65">
            <v>139822</v>
          </cell>
          <cell r="P65">
            <v>139822</v>
          </cell>
          <cell r="Q65">
            <v>22733</v>
          </cell>
        </row>
        <row r="66">
          <cell r="C66">
            <v>119</v>
          </cell>
          <cell r="D66" t="str">
            <v>M</v>
          </cell>
          <cell r="E66">
            <v>61</v>
          </cell>
          <cell r="F66">
            <v>19.388999999999999</v>
          </cell>
          <cell r="G66">
            <v>24408</v>
          </cell>
          <cell r="H66">
            <v>473262</v>
          </cell>
          <cell r="I66">
            <v>366121</v>
          </cell>
          <cell r="J66">
            <v>366121</v>
          </cell>
          <cell r="K66">
            <v>46991</v>
          </cell>
          <cell r="L66">
            <v>46991</v>
          </cell>
          <cell r="M66">
            <v>0</v>
          </cell>
          <cell r="N66">
            <v>46991</v>
          </cell>
          <cell r="O66">
            <v>46991</v>
          </cell>
          <cell r="P66">
            <v>46991</v>
          </cell>
          <cell r="Q66">
            <v>18669</v>
          </cell>
        </row>
        <row r="67">
          <cell r="C67">
            <v>121</v>
          </cell>
          <cell r="D67" t="str">
            <v>M</v>
          </cell>
          <cell r="E67">
            <v>54</v>
          </cell>
          <cell r="F67">
            <v>34.101999999999997</v>
          </cell>
          <cell r="G67">
            <v>32100</v>
          </cell>
          <cell r="H67">
            <v>547349</v>
          </cell>
          <cell r="I67">
            <v>323473</v>
          </cell>
          <cell r="J67">
            <v>323473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9371</v>
          </cell>
        </row>
        <row r="68">
          <cell r="C68">
            <v>123</v>
          </cell>
          <cell r="D68" t="str">
            <v>M</v>
          </cell>
          <cell r="E68">
            <v>30</v>
          </cell>
          <cell r="F68">
            <v>8.4130000000000003</v>
          </cell>
          <cell r="G68">
            <v>11682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C69">
            <v>125</v>
          </cell>
          <cell r="D69" t="str">
            <v>F</v>
          </cell>
          <cell r="E69">
            <v>45</v>
          </cell>
          <cell r="F69">
            <v>11.670999999999999</v>
          </cell>
          <cell r="G69">
            <v>8885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C70">
            <v>129</v>
          </cell>
          <cell r="D70" t="str">
            <v>M</v>
          </cell>
          <cell r="E70">
            <v>58</v>
          </cell>
          <cell r="F70">
            <v>10.288</v>
          </cell>
          <cell r="G70">
            <v>11122</v>
          </cell>
          <cell r="H70">
            <v>114436</v>
          </cell>
          <cell r="I70">
            <v>89910</v>
          </cell>
          <cell r="J70">
            <v>89910</v>
          </cell>
          <cell r="K70">
            <v>16454</v>
          </cell>
          <cell r="L70">
            <v>16454</v>
          </cell>
          <cell r="M70">
            <v>0</v>
          </cell>
          <cell r="N70">
            <v>16454</v>
          </cell>
          <cell r="O70">
            <v>16454</v>
          </cell>
          <cell r="P70">
            <v>16454</v>
          </cell>
          <cell r="Q70">
            <v>8636</v>
          </cell>
        </row>
        <row r="71">
          <cell r="C71">
            <v>131</v>
          </cell>
          <cell r="D71" t="str">
            <v>F</v>
          </cell>
          <cell r="E71">
            <v>43</v>
          </cell>
          <cell r="F71">
            <v>10.672000000000001</v>
          </cell>
          <cell r="G71">
            <v>20912</v>
          </cell>
          <cell r="H71">
            <v>111588</v>
          </cell>
          <cell r="I71">
            <v>45584</v>
          </cell>
          <cell r="J71">
            <v>45584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4220</v>
          </cell>
        </row>
        <row r="72">
          <cell r="C72">
            <v>133</v>
          </cell>
          <cell r="D72" t="str">
            <v>M</v>
          </cell>
          <cell r="E72">
            <v>50</v>
          </cell>
          <cell r="F72">
            <v>10.19</v>
          </cell>
          <cell r="G72">
            <v>22310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C73">
            <v>135</v>
          </cell>
          <cell r="D73" t="str">
            <v>F</v>
          </cell>
          <cell r="E73">
            <v>34</v>
          </cell>
          <cell r="F73">
            <v>10.672000000000001</v>
          </cell>
          <cell r="G73">
            <v>16716</v>
          </cell>
          <cell r="H73">
            <v>178400</v>
          </cell>
          <cell r="I73">
            <v>73999</v>
          </cell>
          <cell r="J73">
            <v>73999</v>
          </cell>
          <cell r="K73">
            <v>30461</v>
          </cell>
          <cell r="L73">
            <v>30461</v>
          </cell>
          <cell r="M73">
            <v>0</v>
          </cell>
          <cell r="N73">
            <v>30461</v>
          </cell>
          <cell r="O73">
            <v>30461</v>
          </cell>
          <cell r="P73">
            <v>30461</v>
          </cell>
          <cell r="Q73">
            <v>6858</v>
          </cell>
        </row>
        <row r="74">
          <cell r="C74">
            <v>137</v>
          </cell>
          <cell r="D74" t="str">
            <v>M</v>
          </cell>
          <cell r="E74">
            <v>57</v>
          </cell>
          <cell r="F74">
            <v>10.672000000000001</v>
          </cell>
          <cell r="G74">
            <v>15982</v>
          </cell>
          <cell r="H74">
            <v>170564</v>
          </cell>
          <cell r="I74">
            <v>111745</v>
          </cell>
          <cell r="J74">
            <v>111745</v>
          </cell>
          <cell r="K74">
            <v>40820</v>
          </cell>
          <cell r="L74">
            <v>40820</v>
          </cell>
          <cell r="M74">
            <v>0</v>
          </cell>
          <cell r="N74">
            <v>40820</v>
          </cell>
          <cell r="O74">
            <v>40820</v>
          </cell>
          <cell r="P74">
            <v>40820</v>
          </cell>
          <cell r="Q74">
            <v>10344</v>
          </cell>
        </row>
        <row r="75">
          <cell r="C75">
            <v>139</v>
          </cell>
          <cell r="D75" t="str">
            <v>M</v>
          </cell>
          <cell r="E75">
            <v>47</v>
          </cell>
          <cell r="F75">
            <v>10.672000000000001</v>
          </cell>
          <cell r="G75">
            <v>16716</v>
          </cell>
          <cell r="H75">
            <v>89200</v>
          </cell>
          <cell r="I75">
            <v>34161</v>
          </cell>
          <cell r="J75">
            <v>34161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3162</v>
          </cell>
        </row>
        <row r="76">
          <cell r="C76">
            <v>143</v>
          </cell>
          <cell r="D76" t="str">
            <v>F</v>
          </cell>
          <cell r="E76">
            <v>42</v>
          </cell>
          <cell r="F76">
            <v>8.3010000000000002</v>
          </cell>
          <cell r="G76">
            <v>10563</v>
          </cell>
          <cell r="H76">
            <v>87684</v>
          </cell>
          <cell r="I76">
            <v>34886</v>
          </cell>
          <cell r="J76">
            <v>34886</v>
          </cell>
          <cell r="K76">
            <v>3680</v>
          </cell>
          <cell r="L76">
            <v>3680</v>
          </cell>
          <cell r="M76">
            <v>0</v>
          </cell>
          <cell r="N76">
            <v>3680</v>
          </cell>
          <cell r="O76">
            <v>3680</v>
          </cell>
          <cell r="P76">
            <v>3680</v>
          </cell>
          <cell r="Q76">
            <v>4153</v>
          </cell>
        </row>
        <row r="77">
          <cell r="C77">
            <v>147</v>
          </cell>
          <cell r="D77" t="str">
            <v>M</v>
          </cell>
          <cell r="E77">
            <v>39</v>
          </cell>
          <cell r="F77">
            <v>8.2509999999999994</v>
          </cell>
          <cell r="G77">
            <v>17416</v>
          </cell>
          <cell r="H77">
            <v>143712</v>
          </cell>
          <cell r="I77">
            <v>55956</v>
          </cell>
          <cell r="J77">
            <v>55956</v>
          </cell>
          <cell r="K77">
            <v>10547</v>
          </cell>
          <cell r="L77">
            <v>10547</v>
          </cell>
          <cell r="M77">
            <v>0</v>
          </cell>
          <cell r="N77">
            <v>10547</v>
          </cell>
          <cell r="O77">
            <v>10547</v>
          </cell>
          <cell r="P77">
            <v>10547</v>
          </cell>
          <cell r="Q77">
            <v>6701</v>
          </cell>
        </row>
        <row r="78">
          <cell r="C78">
            <v>149</v>
          </cell>
          <cell r="D78" t="str">
            <v>F</v>
          </cell>
          <cell r="E78">
            <v>38</v>
          </cell>
          <cell r="F78">
            <v>8.1340000000000003</v>
          </cell>
          <cell r="G78">
            <v>10283</v>
          </cell>
          <cell r="H78">
            <v>83645</v>
          </cell>
          <cell r="I78">
            <v>30911</v>
          </cell>
          <cell r="J78">
            <v>30911</v>
          </cell>
          <cell r="K78">
            <v>5423</v>
          </cell>
          <cell r="L78">
            <v>5423</v>
          </cell>
          <cell r="M78">
            <v>0</v>
          </cell>
          <cell r="N78">
            <v>5423</v>
          </cell>
          <cell r="O78">
            <v>5423</v>
          </cell>
          <cell r="P78">
            <v>5423</v>
          </cell>
          <cell r="Q78">
            <v>3757</v>
          </cell>
        </row>
        <row r="79">
          <cell r="C79" t="str">
            <v>All</v>
          </cell>
          <cell r="G79">
            <v>1191630</v>
          </cell>
          <cell r="H79">
            <v>9584683</v>
          </cell>
          <cell r="I79">
            <v>6497860</v>
          </cell>
          <cell r="J79">
            <v>6497860</v>
          </cell>
          <cell r="K79">
            <v>2679740</v>
          </cell>
          <cell r="L79">
            <v>2679740</v>
          </cell>
          <cell r="M79">
            <v>0</v>
          </cell>
          <cell r="N79">
            <v>2679740</v>
          </cell>
          <cell r="O79">
            <v>2679740</v>
          </cell>
          <cell r="P79">
            <v>2679740</v>
          </cell>
          <cell r="Q79">
            <v>287445</v>
          </cell>
        </row>
        <row r="81">
          <cell r="C81" t="str">
            <v>Valuation Date 31DEC2024, Scenario=0,Prob Scenario=0,RFScenario=1,Inflation=0, Reporting Group B</v>
          </cell>
        </row>
        <row r="82">
          <cell r="G82" t="str">
            <v>Last Monthly Salary For Severance</v>
          </cell>
          <cell r="H82" t="str">
            <v>Pitzuim</v>
          </cell>
          <cell r="I82" t="str">
            <v>Salary Value</v>
          </cell>
          <cell r="J82" t="str">
            <v>Salary Value Final</v>
          </cell>
          <cell r="K82" t="str">
            <v>Severance Pay Fund</v>
          </cell>
          <cell r="L82" t="str">
            <v>Severance Pay Fund Value1</v>
          </cell>
          <cell r="M82" t="str">
            <v>Severance Pay Fund0</v>
          </cell>
          <cell r="N82" t="str">
            <v>Severance Pay Fund Value</v>
          </cell>
          <cell r="O82" t="str">
            <v>Severance Pay Fund Value Final</v>
          </cell>
          <cell r="P82" t="str">
            <v>Severance Pay Fund Value Final 2</v>
          </cell>
          <cell r="Q82" t="str">
            <v>Current Service Cost final</v>
          </cell>
        </row>
        <row r="83">
          <cell r="C83" t="str">
            <v>Unique Identity Number</v>
          </cell>
          <cell r="D83" t="str">
            <v>Gender</v>
          </cell>
          <cell r="E83" t="str">
            <v>Age</v>
          </cell>
          <cell r="F83" t="str">
            <v>Seniority in Yrs</v>
          </cell>
          <cell r="G83">
            <v>32100</v>
          </cell>
          <cell r="H83">
            <v>98653</v>
          </cell>
          <cell r="I83">
            <v>38960</v>
          </cell>
          <cell r="J83">
            <v>38960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3508</v>
          </cell>
        </row>
        <row r="84">
          <cell r="C84">
            <v>2</v>
          </cell>
          <cell r="D84" t="str">
            <v>F</v>
          </cell>
          <cell r="E84">
            <v>39</v>
          </cell>
          <cell r="F84">
            <v>10.976000000000001</v>
          </cell>
        </row>
        <row r="85">
          <cell r="C85">
            <v>4</v>
          </cell>
          <cell r="D85" t="str">
            <v>F</v>
          </cell>
          <cell r="E85">
            <v>57</v>
          </cell>
          <cell r="F85">
            <v>22.984000000000002</v>
          </cell>
          <cell r="G85">
            <v>16716</v>
          </cell>
          <cell r="H85">
            <v>384213</v>
          </cell>
          <cell r="I85">
            <v>355239</v>
          </cell>
          <cell r="J85">
            <v>355239</v>
          </cell>
          <cell r="K85">
            <v>118346</v>
          </cell>
          <cell r="L85">
            <v>118346</v>
          </cell>
          <cell r="M85">
            <v>0</v>
          </cell>
          <cell r="N85">
            <v>118346</v>
          </cell>
          <cell r="O85">
            <v>118346</v>
          </cell>
          <cell r="P85">
            <v>118346</v>
          </cell>
          <cell r="Q85">
            <v>15281</v>
          </cell>
        </row>
        <row r="86">
          <cell r="C86">
            <v>10</v>
          </cell>
          <cell r="D86" t="str">
            <v>M</v>
          </cell>
          <cell r="E86">
            <v>51</v>
          </cell>
          <cell r="F86">
            <v>8.3640000000000008</v>
          </cell>
          <cell r="G86">
            <v>14619</v>
          </cell>
          <cell r="H86">
            <v>34236</v>
          </cell>
          <cell r="I86">
            <v>14955</v>
          </cell>
          <cell r="J86">
            <v>14955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1766</v>
          </cell>
        </row>
        <row r="87">
          <cell r="C87">
            <v>12</v>
          </cell>
          <cell r="D87" t="str">
            <v>M</v>
          </cell>
          <cell r="E87">
            <v>51</v>
          </cell>
          <cell r="F87">
            <v>8.4510000000000005</v>
          </cell>
          <cell r="G87">
            <v>11822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C88">
            <v>16</v>
          </cell>
          <cell r="D88" t="str">
            <v>F</v>
          </cell>
          <cell r="E88">
            <v>52</v>
          </cell>
          <cell r="F88">
            <v>24.01</v>
          </cell>
          <cell r="G88">
            <v>15318</v>
          </cell>
          <cell r="H88">
            <v>305292</v>
          </cell>
          <cell r="I88">
            <v>203030</v>
          </cell>
          <cell r="J88">
            <v>203030</v>
          </cell>
          <cell r="K88">
            <v>126799</v>
          </cell>
          <cell r="L88">
            <v>126799</v>
          </cell>
          <cell r="M88">
            <v>0</v>
          </cell>
          <cell r="N88">
            <v>126799</v>
          </cell>
          <cell r="O88">
            <v>126799</v>
          </cell>
          <cell r="P88">
            <v>126799</v>
          </cell>
          <cell r="Q88">
            <v>2818</v>
          </cell>
        </row>
        <row r="89">
          <cell r="C89">
            <v>18</v>
          </cell>
          <cell r="D89" t="str">
            <v>F</v>
          </cell>
          <cell r="E89">
            <v>53</v>
          </cell>
          <cell r="F89">
            <v>14.346</v>
          </cell>
          <cell r="G89">
            <v>33499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C90">
            <v>22</v>
          </cell>
          <cell r="D90" t="str">
            <v>F</v>
          </cell>
          <cell r="E90">
            <v>52</v>
          </cell>
          <cell r="F90">
            <v>14.061</v>
          </cell>
          <cell r="G90">
            <v>70419</v>
          </cell>
          <cell r="H90">
            <v>698283</v>
          </cell>
          <cell r="I90">
            <v>400136</v>
          </cell>
          <cell r="J90">
            <v>400136</v>
          </cell>
          <cell r="K90">
            <v>150000</v>
          </cell>
          <cell r="L90">
            <v>150000</v>
          </cell>
          <cell r="M90">
            <v>0</v>
          </cell>
          <cell r="N90">
            <v>150000</v>
          </cell>
          <cell r="O90">
            <v>150000</v>
          </cell>
          <cell r="P90">
            <v>150000</v>
          </cell>
          <cell r="Q90">
            <v>11162</v>
          </cell>
        </row>
        <row r="91">
          <cell r="C91">
            <v>24</v>
          </cell>
          <cell r="D91" t="str">
            <v>M</v>
          </cell>
          <cell r="E91">
            <v>44</v>
          </cell>
          <cell r="F91">
            <v>8.1669999999999998</v>
          </cell>
          <cell r="G91">
            <v>36855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>
            <v>26</v>
          </cell>
          <cell r="D92" t="str">
            <v>F</v>
          </cell>
          <cell r="E92">
            <v>49</v>
          </cell>
          <cell r="F92">
            <v>8.0410000000000004</v>
          </cell>
          <cell r="G92">
            <v>32479</v>
          </cell>
          <cell r="H92">
            <v>79586</v>
          </cell>
          <cell r="I92">
            <v>81022</v>
          </cell>
          <cell r="J92">
            <v>81022</v>
          </cell>
          <cell r="K92">
            <v>70000</v>
          </cell>
          <cell r="L92">
            <v>70000</v>
          </cell>
          <cell r="M92">
            <v>0</v>
          </cell>
          <cell r="N92">
            <v>70000</v>
          </cell>
          <cell r="O92">
            <v>70000</v>
          </cell>
          <cell r="P92">
            <v>70000</v>
          </cell>
          <cell r="Q92">
            <v>0</v>
          </cell>
        </row>
        <row r="93">
          <cell r="C93">
            <v>28</v>
          </cell>
          <cell r="D93" t="str">
            <v>F</v>
          </cell>
          <cell r="E93">
            <v>47</v>
          </cell>
          <cell r="F93">
            <v>8.9220000000000006</v>
          </cell>
          <cell r="G93">
            <v>34897</v>
          </cell>
          <cell r="H93">
            <v>311375</v>
          </cell>
          <cell r="I93">
            <v>276742</v>
          </cell>
          <cell r="J93">
            <v>276742</v>
          </cell>
          <cell r="K93">
            <v>211331</v>
          </cell>
          <cell r="L93">
            <v>211331</v>
          </cell>
          <cell r="M93">
            <v>0</v>
          </cell>
          <cell r="N93">
            <v>211331</v>
          </cell>
          <cell r="O93">
            <v>211331</v>
          </cell>
          <cell r="P93">
            <v>211331</v>
          </cell>
          <cell r="Q93">
            <v>30641</v>
          </cell>
        </row>
        <row r="94">
          <cell r="C94">
            <v>30</v>
          </cell>
          <cell r="D94" t="str">
            <v>M</v>
          </cell>
          <cell r="E94">
            <v>43</v>
          </cell>
          <cell r="F94">
            <v>10.19</v>
          </cell>
          <cell r="G94">
            <v>15318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C95">
            <v>32</v>
          </cell>
          <cell r="D95" t="str">
            <v>M</v>
          </cell>
          <cell r="E95">
            <v>39</v>
          </cell>
          <cell r="F95">
            <v>17.376999999999999</v>
          </cell>
          <cell r="G95">
            <v>26506</v>
          </cell>
          <cell r="H95">
            <v>460598</v>
          </cell>
          <cell r="I95">
            <v>262227</v>
          </cell>
          <cell r="J95">
            <v>262227</v>
          </cell>
          <cell r="K95">
            <v>152159</v>
          </cell>
          <cell r="L95">
            <v>152159</v>
          </cell>
          <cell r="M95">
            <v>0</v>
          </cell>
          <cell r="N95">
            <v>152159</v>
          </cell>
          <cell r="O95">
            <v>152159</v>
          </cell>
          <cell r="P95">
            <v>152159</v>
          </cell>
          <cell r="Q95">
            <v>14913</v>
          </cell>
        </row>
        <row r="96">
          <cell r="C96">
            <v>34</v>
          </cell>
          <cell r="D96" t="str">
            <v>M</v>
          </cell>
          <cell r="E96">
            <v>45</v>
          </cell>
          <cell r="F96">
            <v>23.085000000000001</v>
          </cell>
          <cell r="G96">
            <v>39093</v>
          </cell>
          <cell r="H96">
            <v>697727</v>
          </cell>
          <cell r="I96">
            <v>390415</v>
          </cell>
          <cell r="J96">
            <v>390415</v>
          </cell>
          <cell r="K96">
            <v>202878</v>
          </cell>
          <cell r="L96">
            <v>202878</v>
          </cell>
          <cell r="M96">
            <v>0</v>
          </cell>
          <cell r="N96">
            <v>202878</v>
          </cell>
          <cell r="O96">
            <v>202878</v>
          </cell>
          <cell r="P96">
            <v>202878</v>
          </cell>
          <cell r="Q96">
            <v>0</v>
          </cell>
        </row>
        <row r="97">
          <cell r="C97">
            <v>36</v>
          </cell>
          <cell r="D97" t="str">
            <v>M</v>
          </cell>
          <cell r="E97">
            <v>48</v>
          </cell>
          <cell r="F97">
            <v>15.586</v>
          </cell>
          <cell r="G97">
            <v>12521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C98">
            <v>38</v>
          </cell>
          <cell r="D98" t="str">
            <v>M</v>
          </cell>
          <cell r="E98">
            <v>48</v>
          </cell>
          <cell r="F98">
            <v>13.831</v>
          </cell>
          <cell r="G98">
            <v>22310</v>
          </cell>
          <cell r="H98">
            <v>86405</v>
          </cell>
          <cell r="I98">
            <v>45765</v>
          </cell>
          <cell r="J98">
            <v>45765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3268</v>
          </cell>
        </row>
        <row r="99">
          <cell r="C99">
            <v>42</v>
          </cell>
          <cell r="D99" t="str">
            <v>F</v>
          </cell>
          <cell r="E99">
            <v>27</v>
          </cell>
          <cell r="F99">
            <v>8.3279999999999994</v>
          </cell>
          <cell r="G99">
            <v>13220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C100">
            <v>44</v>
          </cell>
          <cell r="D100" t="str">
            <v>M</v>
          </cell>
          <cell r="E100">
            <v>48</v>
          </cell>
          <cell r="F100">
            <v>14.346</v>
          </cell>
          <cell r="G100">
            <v>20143</v>
          </cell>
          <cell r="H100">
            <v>80913</v>
          </cell>
          <cell r="I100">
            <v>42792</v>
          </cell>
          <cell r="J100">
            <v>42792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2946</v>
          </cell>
        </row>
        <row r="101">
          <cell r="C101">
            <v>46</v>
          </cell>
          <cell r="D101" t="str">
            <v>F</v>
          </cell>
          <cell r="E101">
            <v>55</v>
          </cell>
          <cell r="F101">
            <v>28.084</v>
          </cell>
          <cell r="G101">
            <v>22310</v>
          </cell>
          <cell r="H101">
            <v>626586</v>
          </cell>
          <cell r="I101">
            <v>579396</v>
          </cell>
          <cell r="J101">
            <v>579396</v>
          </cell>
          <cell r="K101">
            <v>295864</v>
          </cell>
          <cell r="L101">
            <v>295864</v>
          </cell>
          <cell r="M101">
            <v>0</v>
          </cell>
          <cell r="N101">
            <v>295864</v>
          </cell>
          <cell r="O101">
            <v>295864</v>
          </cell>
          <cell r="P101">
            <v>295864</v>
          </cell>
          <cell r="Q101">
            <v>20388</v>
          </cell>
        </row>
        <row r="102">
          <cell r="C102">
            <v>48</v>
          </cell>
          <cell r="D102" t="str">
            <v>F</v>
          </cell>
          <cell r="E102">
            <v>50</v>
          </cell>
          <cell r="F102">
            <v>26.253</v>
          </cell>
          <cell r="G102">
            <v>22590</v>
          </cell>
          <cell r="H102">
            <v>431774</v>
          </cell>
          <cell r="I102">
            <v>285147</v>
          </cell>
          <cell r="J102">
            <v>285147</v>
          </cell>
          <cell r="K102">
            <v>200000</v>
          </cell>
          <cell r="L102">
            <v>200000</v>
          </cell>
          <cell r="M102">
            <v>0</v>
          </cell>
          <cell r="N102">
            <v>200000</v>
          </cell>
          <cell r="O102">
            <v>200000</v>
          </cell>
          <cell r="P102">
            <v>200000</v>
          </cell>
          <cell r="Q102">
            <v>4125</v>
          </cell>
        </row>
        <row r="103">
          <cell r="C103">
            <v>50</v>
          </cell>
          <cell r="D103" t="str">
            <v>M</v>
          </cell>
          <cell r="E103">
            <v>55</v>
          </cell>
          <cell r="F103">
            <v>8.1750000000000007</v>
          </cell>
          <cell r="G103">
            <v>34897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C104">
            <v>72</v>
          </cell>
          <cell r="D104" t="str">
            <v>F</v>
          </cell>
          <cell r="E104">
            <v>51</v>
          </cell>
          <cell r="F104">
            <v>20.751999999999999</v>
          </cell>
          <cell r="G104">
            <v>48043</v>
          </cell>
          <cell r="H104">
            <v>997035</v>
          </cell>
          <cell r="I104">
            <v>824355</v>
          </cell>
          <cell r="J104">
            <v>824355</v>
          </cell>
          <cell r="K104">
            <v>422663</v>
          </cell>
          <cell r="L104">
            <v>422663</v>
          </cell>
          <cell r="M104">
            <v>0</v>
          </cell>
          <cell r="N104">
            <v>422663</v>
          </cell>
          <cell r="O104">
            <v>422663</v>
          </cell>
          <cell r="P104">
            <v>422663</v>
          </cell>
          <cell r="Q104">
            <v>39242</v>
          </cell>
        </row>
        <row r="105">
          <cell r="C105">
            <v>74</v>
          </cell>
          <cell r="D105" t="str">
            <v>F</v>
          </cell>
          <cell r="E105">
            <v>51</v>
          </cell>
          <cell r="F105">
            <v>19.818999999999999</v>
          </cell>
          <cell r="G105">
            <v>24705</v>
          </cell>
          <cell r="H105">
            <v>489630</v>
          </cell>
          <cell r="I105">
            <v>407247</v>
          </cell>
          <cell r="J105">
            <v>407247</v>
          </cell>
          <cell r="K105">
            <v>211331</v>
          </cell>
          <cell r="L105">
            <v>211331</v>
          </cell>
          <cell r="M105">
            <v>0</v>
          </cell>
          <cell r="N105">
            <v>211331</v>
          </cell>
          <cell r="O105">
            <v>211331</v>
          </cell>
          <cell r="P105">
            <v>211331</v>
          </cell>
          <cell r="Q105">
            <v>20300</v>
          </cell>
        </row>
        <row r="106">
          <cell r="C106">
            <v>76</v>
          </cell>
          <cell r="D106" t="str">
            <v>M</v>
          </cell>
          <cell r="E106">
            <v>49</v>
          </cell>
          <cell r="F106">
            <v>17.981999999999999</v>
          </cell>
          <cell r="G106">
            <v>27457</v>
          </cell>
          <cell r="H106">
            <v>493737</v>
          </cell>
          <cell r="I106">
            <v>300888</v>
          </cell>
          <cell r="J106">
            <v>300888</v>
          </cell>
          <cell r="K106">
            <v>185972</v>
          </cell>
          <cell r="L106">
            <v>185972</v>
          </cell>
          <cell r="M106">
            <v>0</v>
          </cell>
          <cell r="N106">
            <v>185972</v>
          </cell>
          <cell r="O106">
            <v>185972</v>
          </cell>
          <cell r="P106">
            <v>185972</v>
          </cell>
          <cell r="Q106">
            <v>16524</v>
          </cell>
        </row>
        <row r="107">
          <cell r="C107">
            <v>80</v>
          </cell>
          <cell r="D107" t="str">
            <v>F</v>
          </cell>
          <cell r="E107">
            <v>52</v>
          </cell>
          <cell r="F107">
            <v>8.093</v>
          </cell>
          <cell r="G107">
            <v>31820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C108">
            <v>82</v>
          </cell>
          <cell r="D108" t="str">
            <v>F</v>
          </cell>
          <cell r="E108">
            <v>49</v>
          </cell>
          <cell r="F108">
            <v>9.3740000000000006</v>
          </cell>
          <cell r="G108">
            <v>30702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>
            <v>84</v>
          </cell>
          <cell r="D109" t="str">
            <v>M</v>
          </cell>
          <cell r="E109">
            <v>48</v>
          </cell>
          <cell r="F109">
            <v>9.1769999999999996</v>
          </cell>
          <cell r="G109">
            <v>29583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C110">
            <v>86</v>
          </cell>
          <cell r="D110" t="str">
            <v>F</v>
          </cell>
          <cell r="E110">
            <v>46</v>
          </cell>
          <cell r="F110">
            <v>14.978</v>
          </cell>
          <cell r="G110">
            <v>23899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C111">
            <v>88</v>
          </cell>
          <cell r="D111" t="str">
            <v>F</v>
          </cell>
          <cell r="E111">
            <v>45</v>
          </cell>
          <cell r="F111">
            <v>9.4670000000000005</v>
          </cell>
          <cell r="G111">
            <v>27905</v>
          </cell>
          <cell r="H111">
            <v>132093</v>
          </cell>
          <cell r="I111">
            <v>64715</v>
          </cell>
          <cell r="J111">
            <v>64715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6753</v>
          </cell>
        </row>
        <row r="112">
          <cell r="C112">
            <v>90</v>
          </cell>
          <cell r="D112" t="str">
            <v>F</v>
          </cell>
          <cell r="E112">
            <v>39</v>
          </cell>
          <cell r="F112">
            <v>12.875999999999999</v>
          </cell>
          <cell r="G112">
            <v>28464</v>
          </cell>
          <cell r="H112">
            <v>150405</v>
          </cell>
          <cell r="I112">
            <v>103100</v>
          </cell>
          <cell r="J112">
            <v>103100</v>
          </cell>
          <cell r="K112">
            <v>70000</v>
          </cell>
          <cell r="L112">
            <v>70000</v>
          </cell>
          <cell r="M112">
            <v>0</v>
          </cell>
          <cell r="N112">
            <v>70000</v>
          </cell>
          <cell r="O112">
            <v>70000</v>
          </cell>
          <cell r="P112">
            <v>70000</v>
          </cell>
          <cell r="Q112">
            <v>0</v>
          </cell>
        </row>
        <row r="113">
          <cell r="C113">
            <v>92</v>
          </cell>
          <cell r="D113" t="str">
            <v>M</v>
          </cell>
          <cell r="E113">
            <v>48</v>
          </cell>
          <cell r="F113">
            <v>8.4489999999999998</v>
          </cell>
          <cell r="G113">
            <v>14856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C114">
            <v>94</v>
          </cell>
          <cell r="D114" t="str">
            <v>F</v>
          </cell>
          <cell r="E114">
            <v>48</v>
          </cell>
          <cell r="F114">
            <v>18.420000000000002</v>
          </cell>
          <cell r="G114">
            <v>16716</v>
          </cell>
          <cell r="H114">
            <v>307920</v>
          </cell>
          <cell r="I114">
            <v>216033</v>
          </cell>
          <cell r="J114">
            <v>216033</v>
          </cell>
          <cell r="K114">
            <v>169065</v>
          </cell>
          <cell r="L114">
            <v>169065</v>
          </cell>
          <cell r="M114">
            <v>0</v>
          </cell>
          <cell r="N114">
            <v>169065</v>
          </cell>
          <cell r="O114">
            <v>169065</v>
          </cell>
          <cell r="P114">
            <v>169065</v>
          </cell>
          <cell r="Q114">
            <v>11586</v>
          </cell>
        </row>
        <row r="115">
          <cell r="C115">
            <v>96</v>
          </cell>
          <cell r="D115" t="str">
            <v>M</v>
          </cell>
          <cell r="E115">
            <v>40</v>
          </cell>
          <cell r="F115">
            <v>8.3439999999999994</v>
          </cell>
          <cell r="G115">
            <v>25107</v>
          </cell>
          <cell r="H115">
            <v>104761</v>
          </cell>
          <cell r="I115">
            <v>44488</v>
          </cell>
          <cell r="J115">
            <v>44488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5267</v>
          </cell>
        </row>
        <row r="116">
          <cell r="C116">
            <v>98</v>
          </cell>
          <cell r="D116" t="str">
            <v>F</v>
          </cell>
          <cell r="E116">
            <v>42</v>
          </cell>
          <cell r="F116">
            <v>17.943000000000001</v>
          </cell>
          <cell r="G116">
            <v>25868</v>
          </cell>
          <cell r="H116">
            <v>464177</v>
          </cell>
          <cell r="I116">
            <v>216674</v>
          </cell>
          <cell r="J116">
            <v>216674</v>
          </cell>
          <cell r="K116">
            <v>59173</v>
          </cell>
          <cell r="L116">
            <v>59173</v>
          </cell>
          <cell r="M116">
            <v>0</v>
          </cell>
          <cell r="N116">
            <v>59173</v>
          </cell>
          <cell r="O116">
            <v>59173</v>
          </cell>
          <cell r="P116">
            <v>59173</v>
          </cell>
          <cell r="Q116">
            <v>11934</v>
          </cell>
        </row>
        <row r="117">
          <cell r="C117">
            <v>100</v>
          </cell>
          <cell r="D117" t="str">
            <v>M</v>
          </cell>
          <cell r="E117">
            <v>61</v>
          </cell>
          <cell r="F117">
            <v>7.9690000000000003</v>
          </cell>
          <cell r="G117">
            <v>48043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C118">
            <v>102</v>
          </cell>
          <cell r="D118" t="str">
            <v>M</v>
          </cell>
          <cell r="E118">
            <v>37</v>
          </cell>
          <cell r="F118">
            <v>7.8319999999999999</v>
          </cell>
          <cell r="G118">
            <v>23989</v>
          </cell>
          <cell r="H118">
            <v>93951</v>
          </cell>
          <cell r="I118">
            <v>30986</v>
          </cell>
          <cell r="J118">
            <v>30986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3911</v>
          </cell>
        </row>
        <row r="119">
          <cell r="C119">
            <v>104</v>
          </cell>
          <cell r="D119" t="str">
            <v>M</v>
          </cell>
          <cell r="E119">
            <v>35</v>
          </cell>
          <cell r="F119">
            <v>7.5919999999999996</v>
          </cell>
          <cell r="G119">
            <v>16157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C120">
            <v>106</v>
          </cell>
          <cell r="D120" t="str">
            <v>F</v>
          </cell>
          <cell r="E120">
            <v>35</v>
          </cell>
          <cell r="F120">
            <v>8.1669999999999998</v>
          </cell>
          <cell r="G120">
            <v>25107</v>
          </cell>
          <cell r="H120">
            <v>102526</v>
          </cell>
          <cell r="I120">
            <v>33129</v>
          </cell>
          <cell r="J120">
            <v>33129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4012</v>
          </cell>
        </row>
        <row r="121">
          <cell r="C121">
            <v>108</v>
          </cell>
          <cell r="D121" t="str">
            <v>F</v>
          </cell>
          <cell r="E121">
            <v>55</v>
          </cell>
          <cell r="F121">
            <v>14.176</v>
          </cell>
          <cell r="G121">
            <v>30702</v>
          </cell>
          <cell r="H121">
            <v>217622</v>
          </cell>
          <cell r="I121">
            <v>165113</v>
          </cell>
          <cell r="J121">
            <v>165113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11510</v>
          </cell>
        </row>
        <row r="122">
          <cell r="C122">
            <v>110</v>
          </cell>
          <cell r="D122" t="str">
            <v>F</v>
          </cell>
          <cell r="E122">
            <v>54</v>
          </cell>
          <cell r="F122">
            <v>8.0410000000000004</v>
          </cell>
          <cell r="G122">
            <v>34058</v>
          </cell>
          <cell r="H122">
            <v>136931</v>
          </cell>
          <cell r="I122">
            <v>73051</v>
          </cell>
          <cell r="J122">
            <v>73051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8978</v>
          </cell>
        </row>
        <row r="123">
          <cell r="C123">
            <v>112</v>
          </cell>
          <cell r="D123" t="str">
            <v>M</v>
          </cell>
          <cell r="E123">
            <v>50</v>
          </cell>
          <cell r="F123">
            <v>19.058</v>
          </cell>
          <cell r="G123">
            <v>27654</v>
          </cell>
          <cell r="H123">
            <v>527038</v>
          </cell>
          <cell r="I123">
            <v>420704</v>
          </cell>
          <cell r="J123">
            <v>420704</v>
          </cell>
          <cell r="K123">
            <v>228238</v>
          </cell>
          <cell r="L123">
            <v>228238</v>
          </cell>
          <cell r="M123">
            <v>0</v>
          </cell>
          <cell r="N123">
            <v>228238</v>
          </cell>
          <cell r="O123">
            <v>228238</v>
          </cell>
          <cell r="P123">
            <v>228238</v>
          </cell>
          <cell r="Q123">
            <v>21800</v>
          </cell>
        </row>
        <row r="124">
          <cell r="C124">
            <v>116</v>
          </cell>
          <cell r="D124" t="str">
            <v>F</v>
          </cell>
          <cell r="E124">
            <v>50</v>
          </cell>
          <cell r="F124">
            <v>8.9220000000000006</v>
          </cell>
          <cell r="G124">
            <v>32380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C125">
            <v>118</v>
          </cell>
          <cell r="D125" t="str">
            <v>F</v>
          </cell>
          <cell r="E125">
            <v>60</v>
          </cell>
          <cell r="F125">
            <v>17.574000000000002</v>
          </cell>
          <cell r="G125">
            <v>19290</v>
          </cell>
          <cell r="H125">
            <v>339001</v>
          </cell>
          <cell r="I125">
            <v>297954</v>
          </cell>
          <cell r="J125">
            <v>297954</v>
          </cell>
          <cell r="K125">
            <v>132658</v>
          </cell>
          <cell r="L125">
            <v>132658</v>
          </cell>
          <cell r="M125">
            <v>0</v>
          </cell>
          <cell r="N125">
            <v>132658</v>
          </cell>
          <cell r="O125">
            <v>132658</v>
          </cell>
          <cell r="P125">
            <v>132658</v>
          </cell>
          <cell r="Q125">
            <v>16778</v>
          </cell>
        </row>
        <row r="126">
          <cell r="C126">
            <v>120</v>
          </cell>
          <cell r="D126" t="str">
            <v>M</v>
          </cell>
          <cell r="E126">
            <v>48</v>
          </cell>
          <cell r="F126">
            <v>15.726000000000001</v>
          </cell>
          <cell r="G126">
            <v>25107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C127">
            <v>122</v>
          </cell>
          <cell r="D127" t="str">
            <v>M</v>
          </cell>
          <cell r="E127">
            <v>60</v>
          </cell>
          <cell r="F127">
            <v>21.504999999999999</v>
          </cell>
          <cell r="G127">
            <v>30702</v>
          </cell>
          <cell r="H127">
            <v>660262</v>
          </cell>
          <cell r="I127">
            <v>673852</v>
          </cell>
          <cell r="J127">
            <v>673852</v>
          </cell>
          <cell r="K127">
            <v>277053</v>
          </cell>
          <cell r="L127">
            <v>277053</v>
          </cell>
          <cell r="M127">
            <v>0</v>
          </cell>
          <cell r="N127">
            <v>277053</v>
          </cell>
          <cell r="O127">
            <v>277053</v>
          </cell>
          <cell r="P127">
            <v>277053</v>
          </cell>
          <cell r="Q127">
            <v>30966</v>
          </cell>
        </row>
        <row r="128">
          <cell r="C128">
            <v>124</v>
          </cell>
          <cell r="D128" t="str">
            <v>M</v>
          </cell>
          <cell r="E128">
            <v>39</v>
          </cell>
          <cell r="F128">
            <v>12.01</v>
          </cell>
          <cell r="G128">
            <v>8885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C129">
            <v>126</v>
          </cell>
          <cell r="D129" t="str">
            <v>F</v>
          </cell>
          <cell r="E129">
            <v>58</v>
          </cell>
          <cell r="F129">
            <v>9.8420000000000005</v>
          </cell>
          <cell r="G129">
            <v>10143</v>
          </cell>
          <cell r="H129">
            <v>99837</v>
          </cell>
          <cell r="I129">
            <v>73710</v>
          </cell>
          <cell r="J129">
            <v>73710</v>
          </cell>
          <cell r="K129">
            <v>14054</v>
          </cell>
          <cell r="L129">
            <v>14054</v>
          </cell>
          <cell r="M129">
            <v>0</v>
          </cell>
          <cell r="N129">
            <v>14054</v>
          </cell>
          <cell r="O129">
            <v>14054</v>
          </cell>
          <cell r="P129">
            <v>14054</v>
          </cell>
          <cell r="Q129">
            <v>7407</v>
          </cell>
        </row>
        <row r="130">
          <cell r="C130">
            <v>130</v>
          </cell>
          <cell r="D130" t="str">
            <v>F</v>
          </cell>
          <cell r="E130">
            <v>49</v>
          </cell>
          <cell r="F130">
            <v>10.672000000000001</v>
          </cell>
          <cell r="G130">
            <v>11472</v>
          </cell>
          <cell r="H130">
            <v>122430</v>
          </cell>
          <cell r="I130">
            <v>79355</v>
          </cell>
          <cell r="J130">
            <v>79355</v>
          </cell>
          <cell r="K130">
            <v>16842</v>
          </cell>
          <cell r="L130">
            <v>16842</v>
          </cell>
          <cell r="M130">
            <v>0</v>
          </cell>
          <cell r="N130">
            <v>16842</v>
          </cell>
          <cell r="O130">
            <v>16842</v>
          </cell>
          <cell r="P130">
            <v>16842</v>
          </cell>
          <cell r="Q130">
            <v>7346</v>
          </cell>
        </row>
        <row r="131">
          <cell r="C131">
            <v>132</v>
          </cell>
          <cell r="D131" t="str">
            <v>F</v>
          </cell>
          <cell r="E131">
            <v>37</v>
          </cell>
          <cell r="F131">
            <v>10.672000000000001</v>
          </cell>
          <cell r="G131">
            <v>10843</v>
          </cell>
          <cell r="H131">
            <v>115714</v>
          </cell>
          <cell r="I131">
            <v>50791</v>
          </cell>
          <cell r="J131">
            <v>50791</v>
          </cell>
          <cell r="K131">
            <v>15884</v>
          </cell>
          <cell r="L131">
            <v>15884</v>
          </cell>
          <cell r="M131">
            <v>0</v>
          </cell>
          <cell r="N131">
            <v>15884</v>
          </cell>
          <cell r="O131">
            <v>15884</v>
          </cell>
          <cell r="P131">
            <v>15884</v>
          </cell>
          <cell r="Q131">
            <v>4705</v>
          </cell>
        </row>
        <row r="132">
          <cell r="C132">
            <v>134</v>
          </cell>
          <cell r="D132" t="str">
            <v>F</v>
          </cell>
          <cell r="E132">
            <v>48</v>
          </cell>
          <cell r="F132">
            <v>10.672000000000001</v>
          </cell>
          <cell r="G132">
            <v>10843</v>
          </cell>
          <cell r="H132">
            <v>115714</v>
          </cell>
          <cell r="I132">
            <v>59182</v>
          </cell>
          <cell r="J132">
            <v>59182</v>
          </cell>
          <cell r="K132">
            <v>21344</v>
          </cell>
          <cell r="L132">
            <v>21344</v>
          </cell>
          <cell r="M132">
            <v>0</v>
          </cell>
          <cell r="N132">
            <v>21344</v>
          </cell>
          <cell r="O132">
            <v>21344</v>
          </cell>
          <cell r="P132">
            <v>21344</v>
          </cell>
          <cell r="Q132">
            <v>5478</v>
          </cell>
        </row>
        <row r="133">
          <cell r="C133">
            <v>136</v>
          </cell>
          <cell r="D133" t="str">
            <v>F</v>
          </cell>
          <cell r="E133">
            <v>44</v>
          </cell>
          <cell r="F133">
            <v>10.672000000000001</v>
          </cell>
          <cell r="G133">
            <v>11262</v>
          </cell>
          <cell r="H133">
            <v>120191</v>
          </cell>
          <cell r="I133">
            <v>56521</v>
          </cell>
          <cell r="J133">
            <v>56521</v>
          </cell>
          <cell r="K133">
            <v>15721</v>
          </cell>
          <cell r="L133">
            <v>15721</v>
          </cell>
          <cell r="M133">
            <v>0</v>
          </cell>
          <cell r="N133">
            <v>15721</v>
          </cell>
          <cell r="O133">
            <v>15721</v>
          </cell>
          <cell r="P133">
            <v>15721</v>
          </cell>
          <cell r="Q133">
            <v>5232</v>
          </cell>
        </row>
        <row r="134">
          <cell r="C134">
            <v>138</v>
          </cell>
          <cell r="D134" t="str">
            <v>M</v>
          </cell>
          <cell r="E134">
            <v>52</v>
          </cell>
          <cell r="F134">
            <v>8.8480000000000008</v>
          </cell>
          <cell r="G134">
            <v>32799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C135">
            <v>140</v>
          </cell>
          <cell r="D135" t="str">
            <v>F</v>
          </cell>
          <cell r="E135">
            <v>46</v>
          </cell>
          <cell r="F135">
            <v>7.8630000000000004</v>
          </cell>
          <cell r="G135">
            <v>11402</v>
          </cell>
          <cell r="H135">
            <v>89655</v>
          </cell>
          <cell r="I135">
            <v>41020</v>
          </cell>
          <cell r="J135">
            <v>41020</v>
          </cell>
          <cell r="K135">
            <v>8884</v>
          </cell>
          <cell r="L135">
            <v>8884</v>
          </cell>
          <cell r="M135">
            <v>0</v>
          </cell>
          <cell r="N135">
            <v>8884</v>
          </cell>
          <cell r="O135">
            <v>8884</v>
          </cell>
          <cell r="P135">
            <v>8884</v>
          </cell>
          <cell r="Q135">
            <v>5154</v>
          </cell>
        </row>
        <row r="136">
          <cell r="C136">
            <v>142</v>
          </cell>
          <cell r="D136" t="str">
            <v>M</v>
          </cell>
          <cell r="E136">
            <v>53</v>
          </cell>
          <cell r="F136">
            <v>8.3689999999999998</v>
          </cell>
          <cell r="G136">
            <v>15318</v>
          </cell>
          <cell r="H136">
            <v>128205</v>
          </cell>
          <cell r="I136">
            <v>65434</v>
          </cell>
          <cell r="J136">
            <v>65434</v>
          </cell>
          <cell r="K136">
            <v>9999</v>
          </cell>
          <cell r="L136">
            <v>9999</v>
          </cell>
          <cell r="M136">
            <v>0</v>
          </cell>
          <cell r="N136">
            <v>9999</v>
          </cell>
          <cell r="O136">
            <v>9999</v>
          </cell>
          <cell r="P136">
            <v>9999</v>
          </cell>
          <cell r="Q136">
            <v>7721</v>
          </cell>
        </row>
        <row r="137">
          <cell r="C137">
            <v>144</v>
          </cell>
          <cell r="D137" t="str">
            <v>M</v>
          </cell>
          <cell r="E137">
            <v>40</v>
          </cell>
          <cell r="F137">
            <v>8.5030000000000001</v>
          </cell>
          <cell r="G137">
            <v>34848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C138">
            <v>146</v>
          </cell>
          <cell r="D138" t="str">
            <v>F</v>
          </cell>
          <cell r="E138">
            <v>31</v>
          </cell>
          <cell r="F138">
            <v>8.1120000000000001</v>
          </cell>
          <cell r="G138">
            <v>15667</v>
          </cell>
          <cell r="H138">
            <v>127099</v>
          </cell>
          <cell r="I138">
            <v>45153</v>
          </cell>
          <cell r="J138">
            <v>45153</v>
          </cell>
          <cell r="K138">
            <v>9275</v>
          </cell>
          <cell r="L138">
            <v>9275</v>
          </cell>
          <cell r="M138">
            <v>0</v>
          </cell>
          <cell r="N138">
            <v>9275</v>
          </cell>
          <cell r="O138">
            <v>9275</v>
          </cell>
          <cell r="P138">
            <v>9275</v>
          </cell>
          <cell r="Q138">
            <v>5506</v>
          </cell>
        </row>
        <row r="139">
          <cell r="C139">
            <v>148</v>
          </cell>
          <cell r="D139" t="str">
            <v>M</v>
          </cell>
          <cell r="E139">
            <v>43</v>
          </cell>
          <cell r="F139">
            <v>8.2319999999999993</v>
          </cell>
          <cell r="G139">
            <v>13919</v>
          </cell>
          <cell r="H139">
            <v>114594</v>
          </cell>
          <cell r="I139">
            <v>50014</v>
          </cell>
          <cell r="J139">
            <v>50014</v>
          </cell>
          <cell r="K139">
            <v>8754</v>
          </cell>
          <cell r="L139">
            <v>8754</v>
          </cell>
          <cell r="M139">
            <v>0</v>
          </cell>
          <cell r="N139">
            <v>8754</v>
          </cell>
          <cell r="O139">
            <v>8754</v>
          </cell>
          <cell r="P139">
            <v>8754</v>
          </cell>
          <cell r="Q139">
            <v>6002</v>
          </cell>
        </row>
        <row r="140">
          <cell r="C140">
            <v>150</v>
          </cell>
          <cell r="D140" t="str">
            <v>F</v>
          </cell>
          <cell r="E140">
            <v>29</v>
          </cell>
          <cell r="F140">
            <v>8.1310000000000002</v>
          </cell>
          <cell r="G140">
            <v>10563</v>
          </cell>
          <cell r="H140">
            <v>85891</v>
          </cell>
          <cell r="I140">
            <v>29735</v>
          </cell>
          <cell r="J140">
            <v>29735</v>
          </cell>
          <cell r="K140">
            <v>5599</v>
          </cell>
          <cell r="L140">
            <v>5599</v>
          </cell>
          <cell r="M140">
            <v>0</v>
          </cell>
          <cell r="N140">
            <v>5599</v>
          </cell>
          <cell r="O140">
            <v>5599</v>
          </cell>
          <cell r="P140">
            <v>5599</v>
          </cell>
          <cell r="Q140">
            <v>3619</v>
          </cell>
        </row>
        <row r="141">
          <cell r="C141" t="str">
            <v>All</v>
          </cell>
          <cell r="G141">
            <v>1393910</v>
          </cell>
          <cell r="H141">
            <v>10632060</v>
          </cell>
          <cell r="I141">
            <v>7399028</v>
          </cell>
          <cell r="J141">
            <v>7399028</v>
          </cell>
          <cell r="K141">
            <v>3409884</v>
          </cell>
          <cell r="L141">
            <v>3409884</v>
          </cell>
          <cell r="M141">
            <v>0</v>
          </cell>
          <cell r="N141">
            <v>3409884</v>
          </cell>
          <cell r="O141">
            <v>3409884</v>
          </cell>
          <cell r="P141">
            <v>3409884</v>
          </cell>
          <cell r="Q141">
            <v>378547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topLeftCell="F1" workbookViewId="0">
      <selection activeCell="AF11" sqref="AF11"/>
    </sheetView>
  </sheetViews>
  <sheetFormatPr defaultRowHeight="15"/>
  <sheetData>
    <row r="1" spans="1:32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2" t="s">
        <v>5</v>
      </c>
      <c r="Q1" s="2"/>
      <c r="S1" s="1" t="s">
        <v>6</v>
      </c>
      <c r="V1" s="2" t="s">
        <v>7</v>
      </c>
      <c r="W1" s="2"/>
      <c r="Y1" s="2" t="s">
        <v>8</v>
      </c>
      <c r="Z1" s="2"/>
      <c r="AB1" s="2" t="s">
        <v>9</v>
      </c>
      <c r="AC1" s="2"/>
      <c r="AE1" s="2" t="s">
        <v>10</v>
      </c>
      <c r="AF1" s="2"/>
    </row>
    <row r="2" spans="1:32">
      <c r="A2">
        <v>1</v>
      </c>
      <c r="B2">
        <f>VLOOKUP(A2,'[1]Final results'!$C$20:$Q$2200,8,0)</f>
        <v>0</v>
      </c>
      <c r="D2">
        <v>1</v>
      </c>
      <c r="E2">
        <v>8227</v>
      </c>
      <c r="G2">
        <v>1</v>
      </c>
      <c r="H2">
        <f>VLOOKUP(G2,'[3]Final results'!$C$24:$Q$3500,8,0)</f>
        <v>0</v>
      </c>
      <c r="J2">
        <v>4</v>
      </c>
      <c r="K2">
        <v>212941</v>
      </c>
      <c r="M2">
        <v>1</v>
      </c>
      <c r="N2">
        <f>VLOOKUP(M2,'[5]Final results'!$C$24:$Q$4100,8,0)</f>
        <v>0</v>
      </c>
      <c r="P2">
        <v>1</v>
      </c>
      <c r="Q2">
        <f>VLOOKUP(P2,'[6]Final results'!$C$24:$Q$3800,8,0)</f>
        <v>0</v>
      </c>
      <c r="S2">
        <v>1</v>
      </c>
      <c r="T2">
        <f>VLOOKUP(S2,'[7]Final results'!$C$24:$Q$2600,7,0)</f>
        <v>0</v>
      </c>
      <c r="V2">
        <v>1</v>
      </c>
      <c r="W2">
        <v>2753</v>
      </c>
      <c r="Y2">
        <v>1</v>
      </c>
      <c r="Z2">
        <f>VLOOKUP(Y2,'[9]Final results'!$C$21:$Q$350,7,0)</f>
        <v>0</v>
      </c>
      <c r="AB2">
        <v>1</v>
      </c>
      <c r="AC2">
        <f>VLOOKUP(AB2,'[10]Final results'!$C$26:$Q$430,7,0)</f>
        <v>0</v>
      </c>
      <c r="AE2">
        <v>1</v>
      </c>
      <c r="AF2">
        <f>VLOOKUP(AE2,'[11]Final results'!$C$24:$Q$2900,7,0)</f>
        <v>0</v>
      </c>
    </row>
    <row r="3" spans="1:32">
      <c r="A3">
        <v>7</v>
      </c>
      <c r="B3">
        <f>VLOOKUP(A3,'[1]Final results'!$C$20:$Q$2200,8,0)</f>
        <v>0</v>
      </c>
      <c r="D3">
        <v>2</v>
      </c>
      <c r="E3">
        <f>VLOOKUP(D3,'[2]Final results'!$C$23:$Q$460,8,0)</f>
        <v>39784</v>
      </c>
      <c r="G3">
        <v>2</v>
      </c>
      <c r="H3">
        <f>VLOOKUP(G3,'[3]Final results'!$C$24:$Q$3500,8,0)</f>
        <v>35058</v>
      </c>
      <c r="J3">
        <v>11</v>
      </c>
      <c r="K3">
        <f>VLOOKUP(J3,'[4]Final results'!$C$23:$Q$2900,7,0)</f>
        <v>410336</v>
      </c>
      <c r="M3">
        <v>2</v>
      </c>
      <c r="N3">
        <f>VLOOKUP(M3,'[5]Final results'!$C$24:$Q$4100,8,0)</f>
        <v>16749</v>
      </c>
      <c r="P3">
        <v>2</v>
      </c>
      <c r="Q3">
        <f>VLOOKUP(P3,'[6]Final results'!$C$24:$Q$3800,8,0)</f>
        <v>57998</v>
      </c>
      <c r="S3">
        <v>7</v>
      </c>
      <c r="T3">
        <f>VLOOKUP(S3,'[7]Final results'!$C$24:$Q$2600,7,0)</f>
        <v>0</v>
      </c>
      <c r="V3">
        <v>7</v>
      </c>
      <c r="W3">
        <f>VLOOKUP(V3,'[8]Final results'!$C$24:$Q$4000,7,0)</f>
        <v>18841</v>
      </c>
      <c r="Y3">
        <v>7</v>
      </c>
      <c r="Z3">
        <f>VLOOKUP(Y3,'[9]Final results'!$C$21:$Q$350,7,0)</f>
        <v>0</v>
      </c>
      <c r="AB3">
        <v>2</v>
      </c>
      <c r="AC3">
        <f>VLOOKUP(AB3,'[10]Final results'!$C$26:$Q$430,7,0)</f>
        <v>22423</v>
      </c>
      <c r="AE3">
        <v>7</v>
      </c>
      <c r="AF3">
        <f>VLOOKUP(AE3,'[11]Final results'!$C$24:$Q$2900,7,0)</f>
        <v>0</v>
      </c>
    </row>
    <row r="4" spans="1:32">
      <c r="A4">
        <v>9</v>
      </c>
      <c r="B4">
        <f>VLOOKUP(A4,'[1]Final results'!$C$20:$Q$2200,8,0)</f>
        <v>0</v>
      </c>
      <c r="D4">
        <v>4</v>
      </c>
      <c r="E4">
        <f>VLOOKUP(D4,'[2]Final results'!$C$23:$Q$460,8,0)</f>
        <v>203983</v>
      </c>
      <c r="G4">
        <v>4</v>
      </c>
      <c r="H4">
        <f>VLOOKUP(G4,'[3]Final results'!$C$24:$Q$3500,8,0)</f>
        <v>263939</v>
      </c>
      <c r="J4">
        <v>13</v>
      </c>
      <c r="K4">
        <f>VLOOKUP(J4,'[4]Final results'!$C$23:$Q$2900,7,0)</f>
        <v>72222</v>
      </c>
      <c r="M4">
        <v>4</v>
      </c>
      <c r="N4">
        <f>VLOOKUP(M4,'[5]Final results'!$C$24:$Q$4100,8,0)</f>
        <v>186358</v>
      </c>
      <c r="P4">
        <v>4</v>
      </c>
      <c r="Q4">
        <f>VLOOKUP(P4,'[6]Final results'!$C$24:$Q$3800,8,0)</f>
        <v>285121</v>
      </c>
      <c r="S4">
        <v>9</v>
      </c>
      <c r="T4">
        <f>VLOOKUP(S4,'[7]Final results'!$C$24:$Q$2600,7,0)</f>
        <v>0</v>
      </c>
      <c r="V4">
        <v>9</v>
      </c>
      <c r="W4">
        <f>VLOOKUP(V4,'[8]Final results'!$C$24:$Q$4000,7,0)</f>
        <v>7196</v>
      </c>
      <c r="Y4">
        <v>9</v>
      </c>
      <c r="Z4">
        <f>VLOOKUP(Y4,'[9]Final results'!$C$21:$Q$350,7,0)</f>
        <v>0</v>
      </c>
      <c r="AB4">
        <v>4</v>
      </c>
      <c r="AC4">
        <f>VLOOKUP(AB4,'[10]Final results'!$C$26:$Q$430,7,0)</f>
        <v>209761</v>
      </c>
      <c r="AE4">
        <v>9</v>
      </c>
      <c r="AF4">
        <f>VLOOKUP(AE4,'[11]Final results'!$C$24:$Q$2900,7,0)</f>
        <v>0</v>
      </c>
    </row>
    <row r="5" spans="1:32">
      <c r="A5">
        <v>11</v>
      </c>
      <c r="B5">
        <f>VLOOKUP(A5,'[1]Final results'!$C$20:$Q$2200,8,0)</f>
        <v>432253</v>
      </c>
      <c r="D5">
        <v>7</v>
      </c>
      <c r="E5">
        <f>VLOOKUP(D5,'[2]Final results'!$C$23:$Q$460,8,0)</f>
        <v>30549</v>
      </c>
      <c r="G5">
        <v>7</v>
      </c>
      <c r="H5">
        <f>VLOOKUP(G5,'[3]Final results'!$C$24:$Q$3500,8,0)</f>
        <v>0</v>
      </c>
      <c r="J5">
        <v>16</v>
      </c>
      <c r="K5">
        <f>VLOOKUP(J5,'[4]Final results'!$C$23:$Q$2900,7,0)</f>
        <v>74440</v>
      </c>
      <c r="M5">
        <v>7</v>
      </c>
      <c r="N5">
        <f>VLOOKUP(M5,'[5]Final results'!$C$24:$Q$4100,8,0)</f>
        <v>0</v>
      </c>
      <c r="P5">
        <v>7</v>
      </c>
      <c r="Q5">
        <f>VLOOKUP(P5,'[6]Final results'!$C$24:$Q$3800,8,0)</f>
        <v>0</v>
      </c>
      <c r="S5">
        <v>11</v>
      </c>
      <c r="T5">
        <f>VLOOKUP(S5,'[7]Final results'!$C$24:$Q$2600,7,0)</f>
        <v>407251</v>
      </c>
      <c r="V5">
        <v>11</v>
      </c>
      <c r="W5">
        <f>VLOOKUP(V5,'[8]Final results'!$C$24:$Q$4000,7,0)</f>
        <v>462667</v>
      </c>
      <c r="Y5">
        <v>11</v>
      </c>
      <c r="Z5">
        <f>VLOOKUP(Y5,'[9]Final results'!$C$21:$Q$350,7,0)</f>
        <v>417371</v>
      </c>
      <c r="AB5">
        <v>7</v>
      </c>
      <c r="AC5">
        <f>VLOOKUP(AB5,'[10]Final results'!$C$26:$Q$430,7,0)</f>
        <v>0</v>
      </c>
      <c r="AE5">
        <v>11</v>
      </c>
      <c r="AF5">
        <f>VLOOKUP(AE5,'[11]Final results'!$C$24:$Q$2900,7,0)</f>
        <v>488328</v>
      </c>
    </row>
    <row r="6" spans="1:32">
      <c r="A6">
        <v>13</v>
      </c>
      <c r="B6">
        <f>VLOOKUP(A6,'[1]Final results'!$C$20:$Q$2200,8,0)</f>
        <v>353105</v>
      </c>
      <c r="D6">
        <v>9</v>
      </c>
      <c r="E6">
        <f>VLOOKUP(D6,'[2]Final results'!$C$23:$Q$460,8,0)</f>
        <v>12976</v>
      </c>
      <c r="G6">
        <v>9</v>
      </c>
      <c r="H6">
        <f>VLOOKUP(G6,'[3]Final results'!$C$24:$Q$3500,8,0)</f>
        <v>0</v>
      </c>
      <c r="J6">
        <v>17</v>
      </c>
      <c r="K6">
        <f>VLOOKUP(J6,'[4]Final results'!$C$23:$Q$2900,7,0)</f>
        <v>62294</v>
      </c>
      <c r="M6">
        <v>9</v>
      </c>
      <c r="N6">
        <f>VLOOKUP(M6,'[5]Final results'!$C$24:$Q$4100,8,0)</f>
        <v>0</v>
      </c>
      <c r="P6">
        <v>9</v>
      </c>
      <c r="Q6">
        <f>VLOOKUP(P6,'[6]Final results'!$C$24:$Q$3800,8,0)</f>
        <v>0</v>
      </c>
      <c r="S6">
        <v>13</v>
      </c>
      <c r="T6">
        <f>VLOOKUP(S6,'[7]Final results'!$C$24:$Q$2600,7,0)</f>
        <v>398004</v>
      </c>
      <c r="V6">
        <v>13</v>
      </c>
      <c r="W6">
        <f>VLOOKUP(V6,'[8]Final results'!$C$24:$Q$4000,7,0)</f>
        <v>375736</v>
      </c>
      <c r="Y6">
        <v>13</v>
      </c>
      <c r="Z6">
        <f>VLOOKUP(Y6,'[9]Final results'!$C$21:$Q$350,7,0)</f>
        <v>313681</v>
      </c>
      <c r="AB6">
        <v>9</v>
      </c>
      <c r="AC6">
        <f>VLOOKUP(AB6,'[10]Final results'!$C$26:$Q$430,7,0)</f>
        <v>0</v>
      </c>
      <c r="AE6">
        <v>13</v>
      </c>
      <c r="AF6">
        <f>VLOOKUP(AE6,'[11]Final results'!$C$24:$Q$2900,7,0)</f>
        <v>405327</v>
      </c>
    </row>
    <row r="7" spans="1:32">
      <c r="A7">
        <v>15</v>
      </c>
      <c r="B7">
        <f>VLOOKUP(A7,'[1]Final results'!$C$20:$Q$2200,8,0)</f>
        <v>77033</v>
      </c>
      <c r="D7">
        <v>10</v>
      </c>
      <c r="E7">
        <f>VLOOKUP(D7,'[2]Final results'!$C$23:$Q$460,8,0)</f>
        <v>19356</v>
      </c>
      <c r="G7">
        <v>10</v>
      </c>
      <c r="H7">
        <f>VLOOKUP(G7,'[3]Final results'!$C$24:$Q$3500,8,0)</f>
        <v>14862</v>
      </c>
      <c r="J7">
        <v>15</v>
      </c>
      <c r="K7">
        <v>77340</v>
      </c>
      <c r="M7">
        <v>10</v>
      </c>
      <c r="N7">
        <f>VLOOKUP(M7,'[5]Final results'!$C$24:$Q$4100,8,0)</f>
        <v>8659</v>
      </c>
      <c r="P7">
        <v>10</v>
      </c>
      <c r="Q7">
        <f>VLOOKUP(P7,'[6]Final results'!$C$24:$Q$3800,8,0)</f>
        <v>17304</v>
      </c>
      <c r="S7">
        <v>15</v>
      </c>
      <c r="T7">
        <f>VLOOKUP(S7,'[7]Final results'!$C$24:$Q$2600,7,0)</f>
        <v>63291</v>
      </c>
      <c r="V7">
        <v>15</v>
      </c>
      <c r="W7">
        <f>VLOOKUP(V7,'[8]Final results'!$C$24:$Q$4000,7,0)</f>
        <v>82500</v>
      </c>
      <c r="Y7">
        <v>15</v>
      </c>
      <c r="Z7">
        <f>VLOOKUP(Y7,'[9]Final results'!$C$21:$Q$350,7,0)</f>
        <v>70137</v>
      </c>
      <c r="AB7">
        <v>10</v>
      </c>
      <c r="AC7">
        <f>VLOOKUP(AB7,'[10]Final results'!$C$26:$Q$430,7,0)</f>
        <v>12622</v>
      </c>
      <c r="AE7">
        <v>15</v>
      </c>
      <c r="AF7">
        <f>VLOOKUP(AE7,'[11]Final results'!$C$24:$Q$2900,7,0)</f>
        <v>110458</v>
      </c>
    </row>
    <row r="8" spans="1:32">
      <c r="A8">
        <v>17</v>
      </c>
      <c r="B8">
        <f>VLOOKUP(A8,'[1]Final results'!$C$20:$Q$2200,8,0)</f>
        <v>168656</v>
      </c>
      <c r="D8">
        <v>11</v>
      </c>
      <c r="E8">
        <f>VLOOKUP(D8,'[2]Final results'!$C$23:$Q$460,8,0)</f>
        <v>419010</v>
      </c>
      <c r="G8">
        <v>11</v>
      </c>
      <c r="H8">
        <f>VLOOKUP(G8,'[3]Final results'!$C$24:$Q$3500,8,0)</f>
        <v>474618</v>
      </c>
      <c r="J8">
        <v>18</v>
      </c>
      <c r="K8">
        <f>VLOOKUP(J8,'[4]Final results'!$C$23:$Q$2900,7,0)</f>
        <v>0</v>
      </c>
      <c r="M8">
        <v>11</v>
      </c>
      <c r="N8">
        <f>VLOOKUP(M8,'[5]Final results'!$C$24:$Q$4100,8,0)</f>
        <v>358973</v>
      </c>
      <c r="P8">
        <v>11</v>
      </c>
      <c r="Q8">
        <f>VLOOKUP(P8,'[6]Final results'!$C$24:$Q$3800,8,0)</f>
        <v>586869</v>
      </c>
      <c r="S8">
        <v>17</v>
      </c>
      <c r="T8">
        <f>VLOOKUP(S8,'[7]Final results'!$C$24:$Q$2600,7,0)</f>
        <v>60286</v>
      </c>
      <c r="V8">
        <v>17</v>
      </c>
      <c r="W8">
        <f>VLOOKUP(V8,'[8]Final results'!$C$24:$Q$4000,7,0)</f>
        <v>75305</v>
      </c>
      <c r="Y8">
        <v>17</v>
      </c>
      <c r="Z8">
        <f>VLOOKUP(Y8,'[9]Final results'!$C$21:$Q$350,7,0)</f>
        <v>146637</v>
      </c>
      <c r="AB8">
        <v>11</v>
      </c>
      <c r="AC8">
        <f>VLOOKUP(AB8,'[10]Final results'!$C$26:$Q$430,7,0)</f>
        <v>457150</v>
      </c>
      <c r="AE8">
        <v>17</v>
      </c>
      <c r="AF8">
        <f>VLOOKUP(AE8,'[11]Final results'!$C$24:$Q$2900,7,0)</f>
        <v>86362</v>
      </c>
    </row>
    <row r="9" spans="1:32">
      <c r="A9">
        <v>19</v>
      </c>
      <c r="B9">
        <f>VLOOKUP(A9,'[1]Final results'!$C$20:$Q$2200,8,0)</f>
        <v>50000</v>
      </c>
      <c r="D9">
        <v>12</v>
      </c>
      <c r="E9">
        <f>VLOOKUP(D9,'[2]Final results'!$C$23:$Q$460,8,0)</f>
        <v>7283</v>
      </c>
      <c r="G9">
        <v>12</v>
      </c>
      <c r="H9">
        <f>VLOOKUP(G9,'[3]Final results'!$C$24:$Q$3500,8,0)</f>
        <v>0</v>
      </c>
      <c r="J9">
        <v>2</v>
      </c>
      <c r="K9">
        <v>20143</v>
      </c>
      <c r="M9">
        <v>12</v>
      </c>
      <c r="N9">
        <f>VLOOKUP(M9,'[5]Final results'!$C$24:$Q$4100,8,0)</f>
        <v>0</v>
      </c>
      <c r="P9">
        <v>12</v>
      </c>
      <c r="Q9">
        <f>VLOOKUP(P9,'[6]Final results'!$C$24:$Q$3800,8,0)</f>
        <v>0</v>
      </c>
      <c r="S9">
        <v>19</v>
      </c>
      <c r="T9">
        <f>VLOOKUP(S9,'[7]Final results'!$C$24:$Q$2600,7,0)</f>
        <v>114493</v>
      </c>
      <c r="V9">
        <v>19</v>
      </c>
      <c r="W9">
        <f>VLOOKUP(V9,'[8]Final results'!$C$24:$Q$4000,7,0)</f>
        <v>51224</v>
      </c>
      <c r="Y9">
        <v>19</v>
      </c>
      <c r="Z9">
        <f>VLOOKUP(Y9,'[9]Final results'!$C$21:$Q$350,7,0)</f>
        <v>14723</v>
      </c>
      <c r="AB9">
        <v>12</v>
      </c>
      <c r="AC9">
        <f>VLOOKUP(AB9,'[10]Final results'!$C$26:$Q$430,7,0)</f>
        <v>0</v>
      </c>
      <c r="AE9">
        <v>19</v>
      </c>
      <c r="AF9">
        <f>VLOOKUP(AE9,'[11]Final results'!$C$24:$Q$2900,7,0)</f>
        <v>61626</v>
      </c>
    </row>
    <row r="10" spans="1:32">
      <c r="A10">
        <v>2</v>
      </c>
      <c r="B10">
        <f>VLOOKUP(A10,'[1]Final results'!$C$20:$Q$2200,8,0)</f>
        <v>0</v>
      </c>
      <c r="D10">
        <v>13</v>
      </c>
      <c r="E10">
        <f>VLOOKUP(D10,'[2]Final results'!$C$23:$Q$460,8,0)</f>
        <v>338932</v>
      </c>
      <c r="G10">
        <v>13</v>
      </c>
      <c r="H10">
        <f>VLOOKUP(G10,'[3]Final results'!$C$24:$Q$3500,8,0)</f>
        <v>394103</v>
      </c>
      <c r="J10">
        <v>7</v>
      </c>
      <c r="K10">
        <f>VLOOKUP(J10,'[4]Final results'!$C$23:$Q$2900,7,0)</f>
        <v>0</v>
      </c>
      <c r="M10">
        <v>13</v>
      </c>
      <c r="N10">
        <f>VLOOKUP(M10,'[5]Final results'!$C$24:$Q$4100,8,0)</f>
        <v>162563</v>
      </c>
      <c r="P10">
        <v>13</v>
      </c>
      <c r="Q10">
        <f>VLOOKUP(P10,'[6]Final results'!$C$24:$Q$3800,8,0)</f>
        <v>547421</v>
      </c>
      <c r="S10">
        <v>2</v>
      </c>
      <c r="T10">
        <v>20321</v>
      </c>
      <c r="V10">
        <v>2</v>
      </c>
      <c r="W10">
        <v>27506</v>
      </c>
      <c r="Y10">
        <v>2</v>
      </c>
      <c r="Z10">
        <v>18682</v>
      </c>
      <c r="AB10">
        <v>13</v>
      </c>
      <c r="AC10">
        <f>VLOOKUP(AB10,'[10]Final results'!$C$26:$Q$430,7,0)</f>
        <v>458703</v>
      </c>
      <c r="AE10">
        <v>2</v>
      </c>
      <c r="AF10">
        <v>38960</v>
      </c>
    </row>
    <row r="11" spans="1:32">
      <c r="A11">
        <v>4</v>
      </c>
      <c r="B11">
        <f>VLOOKUP(A11,'[1]Final results'!$C$20:$Q$2200,8,0)</f>
        <v>237447</v>
      </c>
      <c r="D11">
        <v>15</v>
      </c>
      <c r="E11">
        <f>VLOOKUP(D11,'[2]Final results'!$C$23:$Q$460,8,0)</f>
        <v>129808</v>
      </c>
      <c r="G11">
        <v>15</v>
      </c>
      <c r="H11">
        <f>VLOOKUP(G11,'[3]Final results'!$C$24:$Q$3500,8,0)</f>
        <v>110358</v>
      </c>
      <c r="J11">
        <v>10</v>
      </c>
      <c r="K11">
        <f>VLOOKUP(J11,'[4]Final results'!$C$23:$Q$2900,7,0)</f>
        <v>10830</v>
      </c>
      <c r="M11">
        <v>15</v>
      </c>
      <c r="N11">
        <f>VLOOKUP(M11,'[5]Final results'!$C$24:$Q$4100,8,0)</f>
        <v>63623</v>
      </c>
      <c r="P11">
        <v>15</v>
      </c>
      <c r="Q11">
        <f>VLOOKUP(P11,'[6]Final results'!$C$24:$Q$3800,8,0)</f>
        <v>120537</v>
      </c>
      <c r="S11">
        <v>4</v>
      </c>
      <c r="T11">
        <f>VLOOKUP(S11,'[7]Final results'!$C$24:$Q$2600,7,0)</f>
        <v>206645</v>
      </c>
      <c r="V11">
        <v>4</v>
      </c>
      <c r="W11">
        <f>VLOOKUP(V11,'[8]Final results'!$C$24:$Q$4000,7,0)</f>
        <v>229898</v>
      </c>
      <c r="Y11">
        <v>4</v>
      </c>
      <c r="Z11">
        <f>VLOOKUP(Y11,'[9]Final results'!$C$21:$Q$350,7,0)</f>
        <v>207423</v>
      </c>
      <c r="AB11">
        <v>15</v>
      </c>
      <c r="AC11">
        <f>VLOOKUP(AB11,'[10]Final results'!$C$26:$Q$430,7,0)</f>
        <v>85479</v>
      </c>
      <c r="AE11">
        <v>4</v>
      </c>
      <c r="AF11">
        <f>VLOOKUP(AE11,'[11]Final results'!$C$24:$Q$2900,7,0)</f>
        <v>355239</v>
      </c>
    </row>
    <row r="12" spans="1:32">
      <c r="A12">
        <v>10</v>
      </c>
      <c r="B12">
        <f>VLOOKUP(A12,'[1]Final results'!$C$20:$Q$2200,8,0)</f>
        <v>11676</v>
      </c>
      <c r="D12">
        <v>16</v>
      </c>
      <c r="E12">
        <f>VLOOKUP(D12,'[2]Final results'!$C$23:$Q$460,8,0)</f>
        <v>156877</v>
      </c>
      <c r="G12">
        <v>16</v>
      </c>
      <c r="H12">
        <f>VLOOKUP(G12,'[3]Final results'!$C$24:$Q$3500,8,0)</f>
        <v>212914</v>
      </c>
      <c r="J12">
        <v>19</v>
      </c>
      <c r="K12">
        <f>VLOOKUP(J12,'[4]Final results'!$C$23:$Q$2900,7,0)</f>
        <v>13198</v>
      </c>
      <c r="M12">
        <v>16</v>
      </c>
      <c r="N12">
        <f>VLOOKUP(M12,'[5]Final results'!$C$24:$Q$4100,8,0)</f>
        <v>97538</v>
      </c>
      <c r="P12">
        <v>16</v>
      </c>
      <c r="Q12">
        <f>VLOOKUP(P12,'[6]Final results'!$C$24:$Q$3800,8,0)</f>
        <v>226733</v>
      </c>
      <c r="S12">
        <v>10</v>
      </c>
      <c r="T12">
        <f>VLOOKUP(S12,'[7]Final results'!$C$24:$Q$2600,7,0)</f>
        <v>13258</v>
      </c>
      <c r="V12">
        <v>10</v>
      </c>
      <c r="W12">
        <f>VLOOKUP(V12,'[8]Final results'!$C$24:$Q$4000,7,0)</f>
        <v>19065</v>
      </c>
      <c r="Y12">
        <v>10</v>
      </c>
      <c r="Z12">
        <f>VLOOKUP(Y12,'[9]Final results'!$C$21:$Q$350,7,0)</f>
        <v>12870</v>
      </c>
      <c r="AB12">
        <v>16</v>
      </c>
      <c r="AC12">
        <f>VLOOKUP(AB12,'[10]Final results'!$C$26:$Q$430,7,0)</f>
        <v>164436</v>
      </c>
      <c r="AE12">
        <v>10</v>
      </c>
      <c r="AF12">
        <f>VLOOKUP(AE12,'[11]Final results'!$C$24:$Q$2900,7,0)</f>
        <v>14955</v>
      </c>
    </row>
    <row r="13" spans="1:32">
      <c r="A13">
        <v>12</v>
      </c>
      <c r="B13">
        <f>VLOOKUP(A13,'[1]Final results'!$C$20:$Q$2200,8,0)</f>
        <v>0</v>
      </c>
      <c r="D13">
        <v>17</v>
      </c>
      <c r="E13">
        <f>VLOOKUP(D13,'[2]Final results'!$C$23:$Q$460,8,0)</f>
        <v>160209</v>
      </c>
      <c r="G13">
        <v>17</v>
      </c>
      <c r="H13">
        <f>VLOOKUP(G13,'[3]Final results'!$C$24:$Q$3500,8,0)</f>
        <v>73264</v>
      </c>
      <c r="J13">
        <v>1</v>
      </c>
      <c r="K13">
        <f>VLOOKUP(J13,'[4]Final results'!$C$23:$Q$2900,7,0)</f>
        <v>0</v>
      </c>
      <c r="M13">
        <v>17</v>
      </c>
      <c r="N13">
        <f>VLOOKUP(M13,'[5]Final results'!$C$24:$Q$4100,8,0)</f>
        <v>54291</v>
      </c>
      <c r="P13">
        <v>17</v>
      </c>
      <c r="Q13">
        <f>VLOOKUP(P13,'[6]Final results'!$C$24:$Q$3800,8,0)</f>
        <v>101535</v>
      </c>
      <c r="S13">
        <v>12</v>
      </c>
      <c r="T13">
        <f>VLOOKUP(S13,'[7]Final results'!$C$24:$Q$2600,7,0)</f>
        <v>0</v>
      </c>
      <c r="V13">
        <v>12</v>
      </c>
      <c r="W13">
        <f>VLOOKUP(V13,'[8]Final results'!$C$24:$Q$4000,7,0)</f>
        <v>5035</v>
      </c>
      <c r="Y13">
        <v>12</v>
      </c>
      <c r="Z13">
        <f>VLOOKUP(Y13,'[9]Final results'!$C$21:$Q$350,7,0)</f>
        <v>0</v>
      </c>
      <c r="AB13">
        <v>17</v>
      </c>
      <c r="AC13">
        <f>VLOOKUP(AB13,'[10]Final results'!$C$26:$Q$430,7,0)</f>
        <v>67799</v>
      </c>
      <c r="AE13">
        <v>12</v>
      </c>
      <c r="AF13">
        <f>VLOOKUP(AE13,'[11]Final results'!$C$24:$Q$2900,7,0)</f>
        <v>0</v>
      </c>
    </row>
    <row r="14" spans="1:32">
      <c r="A14">
        <v>16</v>
      </c>
      <c r="B14">
        <f>VLOOKUP(A14,'[1]Final results'!$C$20:$Q$2200,8,0)</f>
        <v>158913</v>
      </c>
      <c r="D14">
        <v>18</v>
      </c>
      <c r="E14">
        <f>VLOOKUP(D14,'[2]Final results'!$C$23:$Q$460,8,0)</f>
        <v>122308</v>
      </c>
      <c r="G14">
        <v>18</v>
      </c>
      <c r="H14">
        <f>VLOOKUP(G14,'[3]Final results'!$C$24:$Q$3500,8,0)</f>
        <v>0</v>
      </c>
      <c r="J14">
        <v>9</v>
      </c>
      <c r="K14">
        <f>VLOOKUP(J14,'[4]Final results'!$C$23:$Q$2900,7,0)</f>
        <v>0</v>
      </c>
      <c r="M14">
        <v>18</v>
      </c>
      <c r="N14">
        <f>VLOOKUP(M14,'[5]Final results'!$C$24:$Q$4100,8,0)</f>
        <v>0</v>
      </c>
      <c r="P14">
        <v>18</v>
      </c>
      <c r="Q14">
        <f>VLOOKUP(P14,'[6]Final results'!$C$24:$Q$3800,8,0)</f>
        <v>0</v>
      </c>
      <c r="S14">
        <v>16</v>
      </c>
      <c r="T14">
        <f>VLOOKUP(S14,'[7]Final results'!$C$24:$Q$2600,7,0)</f>
        <v>177822</v>
      </c>
      <c r="V14">
        <v>16</v>
      </c>
      <c r="W14">
        <f>VLOOKUP(V14,'[8]Final results'!$C$24:$Q$4000,7,0)</f>
        <v>175741</v>
      </c>
      <c r="Y14">
        <v>16</v>
      </c>
      <c r="Z14">
        <f>VLOOKUP(Y14,'[9]Final results'!$C$21:$Q$350,7,0)</f>
        <v>161353</v>
      </c>
      <c r="AB14">
        <v>18</v>
      </c>
      <c r="AC14">
        <f>VLOOKUP(AB14,'[10]Final results'!$C$26:$Q$430,7,0)</f>
        <v>0</v>
      </c>
      <c r="AE14">
        <v>16</v>
      </c>
      <c r="AF14">
        <f>VLOOKUP(AE14,'[11]Final results'!$C$24:$Q$2900,7,0)</f>
        <v>203030</v>
      </c>
    </row>
    <row r="15" spans="1:32">
      <c r="A15">
        <v>18</v>
      </c>
      <c r="B15">
        <f>VLOOKUP(A15,'[1]Final results'!$C$20:$Q$2200,8,0)</f>
        <v>127505</v>
      </c>
      <c r="D15">
        <v>19</v>
      </c>
      <c r="E15">
        <f>VLOOKUP(D15,'[2]Final results'!$C$23:$Q$460,8,0)</f>
        <v>49611</v>
      </c>
      <c r="G15">
        <v>19</v>
      </c>
      <c r="H15">
        <f>VLOOKUP(G15,'[3]Final results'!$C$24:$Q$3500,8,0)</f>
        <v>68222</v>
      </c>
      <c r="J15">
        <v>12</v>
      </c>
      <c r="K15">
        <f>VLOOKUP(J15,'[4]Final results'!$C$23:$Q$2900,7,0)</f>
        <v>0</v>
      </c>
      <c r="M15">
        <v>19</v>
      </c>
      <c r="N15">
        <f>VLOOKUP(M15,'[5]Final results'!$C$24:$Q$4100,8,0)</f>
        <v>32513</v>
      </c>
      <c r="P15">
        <v>19</v>
      </c>
      <c r="Q15">
        <f>VLOOKUP(P15,'[6]Final results'!$C$24:$Q$3800,8,0)</f>
        <v>132242</v>
      </c>
      <c r="S15">
        <v>18</v>
      </c>
      <c r="T15">
        <f>VLOOKUP(S15,'[7]Final results'!$C$24:$Q$2600,7,0)</f>
        <v>0</v>
      </c>
      <c r="V15">
        <v>18</v>
      </c>
      <c r="W15">
        <f>VLOOKUP(V15,'[8]Final results'!$C$24:$Q$4000,7,0)</f>
        <v>13128</v>
      </c>
      <c r="Y15">
        <v>18</v>
      </c>
      <c r="Z15">
        <f>VLOOKUP(Y15,'[9]Final results'!$C$21:$Q$350,7,0)</f>
        <v>98777</v>
      </c>
      <c r="AB15">
        <v>19</v>
      </c>
      <c r="AC15">
        <f>VLOOKUP(AB15,'[10]Final results'!$C$26:$Q$430,7,0)</f>
        <v>101556</v>
      </c>
      <c r="AE15">
        <v>18</v>
      </c>
      <c r="AF15">
        <f>VLOOKUP(AE15,'[11]Final results'!$C$24:$Q$2900,7,0)</f>
        <v>0</v>
      </c>
    </row>
  </sheetData>
  <mergeCells count="5">
    <mergeCell ref="Y1:Z1"/>
    <mergeCell ref="AB1:AC1"/>
    <mergeCell ref="AE1:AF1"/>
    <mergeCell ref="P1:Q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Anna Miroshnik</cp:lastModifiedBy>
  <dcterms:created xsi:type="dcterms:W3CDTF">2021-03-29T16:12:29Z</dcterms:created>
  <dcterms:modified xsi:type="dcterms:W3CDTF">2026-04-22T09:41:51Z</dcterms:modified>
</cp:coreProperties>
</file>